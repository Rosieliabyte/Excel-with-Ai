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7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CA2624AC222C00/Documents/"/>
    </mc:Choice>
  </mc:AlternateContent>
  <xr:revisionPtr revIDLastSave="92" documentId="8_{BA585E82-336B-447F-A2B5-B30A387EF2B3}" xr6:coauthVersionLast="47" xr6:coauthVersionMax="47" xr10:uidLastSave="{BE94392A-289F-4520-BB56-9C44F7EFC257}"/>
  <bookViews>
    <workbookView xWindow="-108" yWindow="-108" windowWidth="23256" windowHeight="12456" firstSheet="15" activeTab="16" xr2:uid="{6518D07E-40C2-4FB2-885A-9251E3EC7822}"/>
  </bookViews>
  <sheets>
    <sheet name="Conditional Formatting" sheetId="1" r:id="rId1"/>
    <sheet name="Student Scores" sheetId="2" r:id="rId2"/>
    <sheet name="Speedometer" sheetId="3" r:id="rId3"/>
    <sheet name="Data Validation" sheetId="4" r:id="rId4"/>
    <sheet name="Sales Report" sheetId="5" r:id="rId5"/>
    <sheet name="Dfunctions" sheetId="6" r:id="rId6"/>
    <sheet name="Consolidate" sheetId="7" r:id="rId7"/>
    <sheet name="Employee Lookup" sheetId="8" r:id="rId8"/>
    <sheet name="Employee HLOOKUP" sheetId="9" r:id="rId9"/>
    <sheet name="Sales Efficiency" sheetId="10" r:id="rId10"/>
    <sheet name="pivot" sheetId="13" r:id="rId11"/>
    <sheet name="PAYROLL" sheetId="11" r:id="rId12"/>
    <sheet name="WHT IF ANALYSIS" sheetId="12" r:id="rId13"/>
    <sheet name="MIS REPORT(CASH FLOW,STOCK ST)" sheetId="17" r:id="rId14"/>
    <sheet name="MIS REPORT(BAL. SHEET,PnL)" sheetId="19" r:id="rId15"/>
    <sheet name="DASHBOARDS" sheetId="15" r:id="rId16"/>
    <sheet name="SUMIFS ASSIGNMENT" sheetId="16" r:id="rId17"/>
    <sheet name="filter table" sheetId="20" r:id="rId18"/>
    <sheet name=" pivot2" sheetId="21" r:id="rId19"/>
    <sheet name="P&amp;L Statement" sheetId="22" r:id="rId20"/>
    <sheet name="Balance Sheet" sheetId="23" r:id="rId21"/>
  </sheets>
  <calcPr calcId="191029"/>
  <pivotCaches>
    <pivotCache cacheId="0" r:id="rId22"/>
    <pivotCache cacheId="1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9" l="1"/>
  <c r="T3" i="19"/>
  <c r="T2" i="19"/>
  <c r="Q4" i="19"/>
  <c r="Q3" i="19"/>
  <c r="Q2" i="19"/>
  <c r="O26" i="16"/>
  <c r="O22" i="16"/>
  <c r="O19" i="16"/>
  <c r="O16" i="16"/>
  <c r="O13" i="16"/>
  <c r="N9" i="16"/>
  <c r="B2" i="22"/>
  <c r="B3" i="22"/>
  <c r="B4" i="22"/>
  <c r="B6" i="22"/>
  <c r="B9" i="22"/>
  <c r="B3" i="23"/>
  <c r="B12" i="23"/>
  <c r="G25" i="17"/>
  <c r="D29" i="17"/>
  <c r="B29" i="17"/>
  <c r="D28" i="17"/>
  <c r="B28" i="17"/>
  <c r="D27" i="17"/>
  <c r="B27" i="17"/>
  <c r="D26" i="17"/>
  <c r="B26" i="17"/>
  <c r="D25" i="17"/>
  <c r="B25" i="17"/>
  <c r="F12" i="17"/>
  <c r="E11" i="17"/>
  <c r="I8" i="17"/>
  <c r="H8" i="17"/>
  <c r="G8" i="17"/>
  <c r="F8" i="17"/>
  <c r="E8" i="17"/>
  <c r="I7" i="17"/>
  <c r="H7" i="17"/>
  <c r="G7" i="17"/>
  <c r="F7" i="17"/>
  <c r="E7" i="17"/>
  <c r="I6" i="17"/>
  <c r="H6" i="17"/>
  <c r="G6" i="17"/>
  <c r="F6" i="17"/>
  <c r="E6" i="17"/>
  <c r="B21" i="17"/>
  <c r="B20" i="17"/>
  <c r="B19" i="17"/>
  <c r="B18" i="17"/>
  <c r="B15" i="17"/>
  <c r="B14" i="17"/>
  <c r="B13" i="17"/>
  <c r="B12" i="17"/>
  <c r="B9" i="17"/>
  <c r="B6" i="17"/>
  <c r="B5" i="17"/>
  <c r="K502" i="16"/>
  <c r="K501" i="16"/>
  <c r="K500" i="16"/>
  <c r="K499" i="16"/>
  <c r="K498" i="16"/>
  <c r="K497" i="16"/>
  <c r="K496" i="16"/>
  <c r="K495" i="16"/>
  <c r="K494" i="16"/>
  <c r="K493" i="16"/>
  <c r="K492" i="16"/>
  <c r="K491" i="16"/>
  <c r="K490" i="16"/>
  <c r="K489" i="16"/>
  <c r="K488" i="16"/>
  <c r="K487" i="16"/>
  <c r="K486" i="16"/>
  <c r="K485" i="16"/>
  <c r="K484" i="16"/>
  <c r="K483" i="16"/>
  <c r="K482" i="16"/>
  <c r="K481" i="16"/>
  <c r="K480" i="16"/>
  <c r="K479" i="16"/>
  <c r="K478" i="16"/>
  <c r="K477" i="16"/>
  <c r="K476" i="16"/>
  <c r="K475" i="16"/>
  <c r="K474" i="16"/>
  <c r="K473" i="16"/>
  <c r="K472" i="16"/>
  <c r="K471" i="16"/>
  <c r="K470" i="16"/>
  <c r="K469" i="16"/>
  <c r="K468" i="16"/>
  <c r="K467" i="16"/>
  <c r="K466" i="16"/>
  <c r="K465" i="16"/>
  <c r="K464" i="16"/>
  <c r="K463" i="16"/>
  <c r="K462" i="16"/>
  <c r="K461" i="16"/>
  <c r="K460" i="16"/>
  <c r="K459" i="16"/>
  <c r="K458" i="16"/>
  <c r="K457" i="16"/>
  <c r="K456" i="16"/>
  <c r="K455" i="16"/>
  <c r="K454" i="16"/>
  <c r="K453" i="16"/>
  <c r="K452" i="16"/>
  <c r="K451" i="16"/>
  <c r="K450" i="16"/>
  <c r="K449" i="16"/>
  <c r="K448" i="16"/>
  <c r="K447" i="16"/>
  <c r="K446" i="16"/>
  <c r="K445" i="16"/>
  <c r="K444" i="16"/>
  <c r="K443" i="16"/>
  <c r="K442" i="16"/>
  <c r="K441" i="16"/>
  <c r="K440" i="16"/>
  <c r="K439" i="16"/>
  <c r="K438" i="16"/>
  <c r="K437" i="16"/>
  <c r="K436" i="16"/>
  <c r="K435" i="16"/>
  <c r="K434" i="16"/>
  <c r="K433" i="16"/>
  <c r="K432" i="16"/>
  <c r="K431" i="16"/>
  <c r="K430" i="16"/>
  <c r="K429" i="16"/>
  <c r="K428" i="16"/>
  <c r="K427" i="16"/>
  <c r="K426" i="16"/>
  <c r="K425" i="16"/>
  <c r="K424" i="16"/>
  <c r="K423" i="16"/>
  <c r="K422" i="16"/>
  <c r="K421" i="16"/>
  <c r="K420" i="16"/>
  <c r="K419" i="16"/>
  <c r="K418" i="16"/>
  <c r="K417" i="16"/>
  <c r="K416" i="16"/>
  <c r="K415" i="16"/>
  <c r="K414" i="16"/>
  <c r="K413" i="16"/>
  <c r="K412" i="16"/>
  <c r="K411" i="16"/>
  <c r="K410" i="16"/>
  <c r="K409" i="16"/>
  <c r="K408" i="16"/>
  <c r="K407" i="16"/>
  <c r="K406" i="16"/>
  <c r="K405" i="16"/>
  <c r="K404" i="16"/>
  <c r="K403" i="16"/>
  <c r="K402" i="16"/>
  <c r="K401" i="16"/>
  <c r="K400" i="16"/>
  <c r="K399" i="16"/>
  <c r="K398" i="16"/>
  <c r="K397" i="16"/>
  <c r="K396" i="16"/>
  <c r="K395" i="16"/>
  <c r="K394" i="16"/>
  <c r="K393" i="16"/>
  <c r="K392" i="16"/>
  <c r="K391" i="16"/>
  <c r="K390" i="16"/>
  <c r="K389" i="16"/>
  <c r="K388" i="16"/>
  <c r="K387" i="16"/>
  <c r="K386" i="16"/>
  <c r="K385" i="16"/>
  <c r="K384" i="16"/>
  <c r="K383" i="16"/>
  <c r="K382" i="16"/>
  <c r="K381" i="16"/>
  <c r="K380" i="16"/>
  <c r="K379" i="16"/>
  <c r="K378" i="16"/>
  <c r="K377" i="16"/>
  <c r="K376" i="16"/>
  <c r="K375" i="16"/>
  <c r="K374" i="16"/>
  <c r="K373" i="16"/>
  <c r="K372" i="16"/>
  <c r="K371" i="16"/>
  <c r="K370" i="16"/>
  <c r="K369" i="16"/>
  <c r="K368" i="16"/>
  <c r="K367" i="16"/>
  <c r="K366" i="16"/>
  <c r="K365" i="16"/>
  <c r="K364" i="16"/>
  <c r="K363" i="16"/>
  <c r="K362" i="16"/>
  <c r="K361" i="16"/>
  <c r="K360" i="16"/>
  <c r="K359" i="16"/>
  <c r="K358" i="16"/>
  <c r="K357" i="16"/>
  <c r="K356" i="16"/>
  <c r="K355" i="16"/>
  <c r="K354" i="16"/>
  <c r="K353" i="16"/>
  <c r="K352" i="16"/>
  <c r="K351" i="16"/>
  <c r="K350" i="16"/>
  <c r="K349" i="16"/>
  <c r="K348" i="16"/>
  <c r="K347" i="16"/>
  <c r="K346" i="16"/>
  <c r="K345" i="16"/>
  <c r="K344" i="16"/>
  <c r="K343" i="16"/>
  <c r="K342" i="16"/>
  <c r="K341" i="16"/>
  <c r="K340" i="16"/>
  <c r="K339" i="16"/>
  <c r="K338" i="16"/>
  <c r="K337" i="16"/>
  <c r="K336" i="16"/>
  <c r="K335" i="16"/>
  <c r="K334" i="16"/>
  <c r="K333" i="16"/>
  <c r="K332" i="16"/>
  <c r="K331" i="16"/>
  <c r="K330" i="16"/>
  <c r="K329" i="16"/>
  <c r="K328" i="16"/>
  <c r="K327" i="16"/>
  <c r="K326" i="16"/>
  <c r="K325" i="16"/>
  <c r="K324" i="16"/>
  <c r="K323" i="16"/>
  <c r="K322" i="16"/>
  <c r="K321" i="16"/>
  <c r="K320" i="16"/>
  <c r="K319" i="16"/>
  <c r="K318" i="16"/>
  <c r="K317" i="16"/>
  <c r="K316" i="16"/>
  <c r="K315" i="16"/>
  <c r="K314" i="16"/>
  <c r="K313" i="16"/>
  <c r="K312" i="16"/>
  <c r="K311" i="16"/>
  <c r="K310" i="16"/>
  <c r="K309" i="16"/>
  <c r="K308" i="16"/>
  <c r="K307" i="16"/>
  <c r="K306" i="16"/>
  <c r="K305" i="16"/>
  <c r="K304" i="16"/>
  <c r="K303" i="16"/>
  <c r="K302" i="16"/>
  <c r="K301" i="16"/>
  <c r="K300" i="16"/>
  <c r="K299" i="16"/>
  <c r="K298" i="16"/>
  <c r="K297" i="16"/>
  <c r="K296" i="16"/>
  <c r="K295" i="16"/>
  <c r="K294" i="16"/>
  <c r="K293" i="16"/>
  <c r="K292" i="16"/>
  <c r="K291" i="16"/>
  <c r="K290" i="16"/>
  <c r="K289" i="16"/>
  <c r="K288" i="16"/>
  <c r="K287" i="16"/>
  <c r="K286" i="16"/>
  <c r="K285" i="16"/>
  <c r="K284" i="16"/>
  <c r="K283" i="16"/>
  <c r="K282" i="16"/>
  <c r="K281" i="16"/>
  <c r="K280" i="16"/>
  <c r="K279" i="16"/>
  <c r="K278" i="16"/>
  <c r="K277" i="16"/>
  <c r="K276" i="16"/>
  <c r="K275" i="16"/>
  <c r="K274" i="16"/>
  <c r="K273" i="16"/>
  <c r="K272" i="16"/>
  <c r="K271" i="16"/>
  <c r="K270" i="16"/>
  <c r="K269" i="16"/>
  <c r="K268" i="16"/>
  <c r="K267" i="16"/>
  <c r="K266" i="16"/>
  <c r="K265" i="16"/>
  <c r="K264" i="16"/>
  <c r="K263" i="16"/>
  <c r="K262" i="16"/>
  <c r="K261" i="16"/>
  <c r="K260" i="16"/>
  <c r="K259" i="16"/>
  <c r="K258" i="16"/>
  <c r="K257" i="16"/>
  <c r="K256" i="16"/>
  <c r="K255" i="16"/>
  <c r="K254" i="16"/>
  <c r="K253" i="16"/>
  <c r="K252" i="16"/>
  <c r="K251" i="16"/>
  <c r="K250" i="16"/>
  <c r="K249" i="16"/>
  <c r="K248" i="16"/>
  <c r="K247" i="16"/>
  <c r="K246" i="16"/>
  <c r="K245" i="16"/>
  <c r="K244" i="16"/>
  <c r="K243" i="16"/>
  <c r="K242" i="16"/>
  <c r="K241" i="16"/>
  <c r="K240" i="16"/>
  <c r="K239" i="16"/>
  <c r="K238" i="16"/>
  <c r="K237" i="16"/>
  <c r="K236" i="16"/>
  <c r="K235" i="16"/>
  <c r="K234" i="16"/>
  <c r="K233" i="16"/>
  <c r="K232" i="16"/>
  <c r="K231" i="16"/>
  <c r="K230" i="16"/>
  <c r="K229" i="16"/>
  <c r="K228" i="16"/>
  <c r="K227" i="16"/>
  <c r="K226" i="16"/>
  <c r="K225" i="16"/>
  <c r="K224" i="16"/>
  <c r="K223" i="16"/>
  <c r="K222" i="16"/>
  <c r="K221" i="16"/>
  <c r="K220" i="16"/>
  <c r="K219" i="16"/>
  <c r="K218" i="16"/>
  <c r="K217" i="16"/>
  <c r="K216" i="16"/>
  <c r="K215" i="16"/>
  <c r="K214" i="16"/>
  <c r="K213" i="16"/>
  <c r="K212" i="16"/>
  <c r="K211" i="16"/>
  <c r="K210" i="16"/>
  <c r="K209" i="16"/>
  <c r="K208" i="16"/>
  <c r="K207" i="16"/>
  <c r="K206" i="16"/>
  <c r="K205" i="16"/>
  <c r="K204" i="16"/>
  <c r="K203" i="16"/>
  <c r="K202" i="16"/>
  <c r="K201" i="16"/>
  <c r="K200" i="16"/>
  <c r="K199" i="16"/>
  <c r="K198" i="16"/>
  <c r="K197" i="16"/>
  <c r="K196" i="16"/>
  <c r="K195" i="16"/>
  <c r="K194" i="16"/>
  <c r="K193" i="16"/>
  <c r="K192" i="16"/>
  <c r="K191" i="16"/>
  <c r="K190" i="16"/>
  <c r="K189" i="16"/>
  <c r="K188" i="16"/>
  <c r="K187" i="16"/>
  <c r="K186" i="16"/>
  <c r="K185" i="16"/>
  <c r="K184" i="16"/>
  <c r="K183" i="16"/>
  <c r="K182" i="16"/>
  <c r="K181" i="16"/>
  <c r="K180" i="16"/>
  <c r="K179" i="16"/>
  <c r="K178" i="16"/>
  <c r="K177" i="16"/>
  <c r="K176" i="16"/>
  <c r="K175" i="16"/>
  <c r="K174" i="16"/>
  <c r="K173" i="16"/>
  <c r="K172" i="16"/>
  <c r="K171" i="16"/>
  <c r="K170" i="16"/>
  <c r="K169" i="16"/>
  <c r="K168" i="16"/>
  <c r="K167" i="16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K148" i="16"/>
  <c r="K147" i="16"/>
  <c r="K146" i="16"/>
  <c r="K145" i="16"/>
  <c r="K144" i="16"/>
  <c r="K143" i="16"/>
  <c r="K142" i="16"/>
  <c r="K141" i="16"/>
  <c r="K140" i="16"/>
  <c r="K139" i="16"/>
  <c r="K138" i="16"/>
  <c r="K137" i="16"/>
  <c r="K136" i="16"/>
  <c r="K135" i="16"/>
  <c r="K134" i="16"/>
  <c r="K133" i="16"/>
  <c r="K132" i="16"/>
  <c r="K131" i="16"/>
  <c r="K130" i="16"/>
  <c r="K129" i="16"/>
  <c r="K128" i="16"/>
  <c r="K127" i="16"/>
  <c r="K126" i="16"/>
  <c r="K125" i="16"/>
  <c r="K124" i="16"/>
  <c r="K123" i="16"/>
  <c r="K122" i="16"/>
  <c r="K121" i="16"/>
  <c r="K120" i="16"/>
  <c r="K119" i="16"/>
  <c r="K118" i="16"/>
  <c r="K117" i="16"/>
  <c r="K116" i="16"/>
  <c r="K115" i="16"/>
  <c r="K114" i="16"/>
  <c r="K113" i="16"/>
  <c r="K112" i="16"/>
  <c r="K111" i="16"/>
  <c r="K110" i="16"/>
  <c r="K109" i="16"/>
  <c r="K108" i="16"/>
  <c r="K107" i="16"/>
  <c r="K106" i="16"/>
  <c r="K105" i="16"/>
  <c r="K104" i="16"/>
  <c r="K103" i="16"/>
  <c r="K102" i="16"/>
  <c r="K101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2" i="16"/>
  <c r="K11" i="16"/>
  <c r="K10" i="16"/>
  <c r="K9" i="16"/>
  <c r="K8" i="16"/>
  <c r="K7" i="16"/>
  <c r="K6" i="16"/>
  <c r="K5" i="16"/>
  <c r="K4" i="16"/>
  <c r="K3" i="16"/>
  <c r="J502" i="16"/>
  <c r="J501" i="16"/>
  <c r="J500" i="16"/>
  <c r="J499" i="16"/>
  <c r="J498" i="16"/>
  <c r="J497" i="16"/>
  <c r="J496" i="16"/>
  <c r="J495" i="16"/>
  <c r="J494" i="16"/>
  <c r="J493" i="16"/>
  <c r="J492" i="16"/>
  <c r="J491" i="16"/>
  <c r="J490" i="16"/>
  <c r="J489" i="16"/>
  <c r="J488" i="16"/>
  <c r="J487" i="16"/>
  <c r="J486" i="16"/>
  <c r="J485" i="16"/>
  <c r="J484" i="16"/>
  <c r="J483" i="16"/>
  <c r="J482" i="16"/>
  <c r="J481" i="16"/>
  <c r="J480" i="16"/>
  <c r="J479" i="16"/>
  <c r="J478" i="16"/>
  <c r="J477" i="16"/>
  <c r="J476" i="16"/>
  <c r="J475" i="16"/>
  <c r="J474" i="16"/>
  <c r="J473" i="16"/>
  <c r="J472" i="16"/>
  <c r="J471" i="16"/>
  <c r="J470" i="16"/>
  <c r="J469" i="16"/>
  <c r="J468" i="16"/>
  <c r="J467" i="16"/>
  <c r="J466" i="16"/>
  <c r="J465" i="16"/>
  <c r="J464" i="16"/>
  <c r="J463" i="16"/>
  <c r="J462" i="16"/>
  <c r="J461" i="16"/>
  <c r="J460" i="16"/>
  <c r="J459" i="16"/>
  <c r="J458" i="16"/>
  <c r="J457" i="16"/>
  <c r="J456" i="16"/>
  <c r="J455" i="16"/>
  <c r="J454" i="16"/>
  <c r="J453" i="16"/>
  <c r="J452" i="16"/>
  <c r="J451" i="16"/>
  <c r="J450" i="16"/>
  <c r="J449" i="16"/>
  <c r="J448" i="16"/>
  <c r="J447" i="16"/>
  <c r="J446" i="16"/>
  <c r="J445" i="16"/>
  <c r="J444" i="16"/>
  <c r="J443" i="16"/>
  <c r="J442" i="16"/>
  <c r="J441" i="16"/>
  <c r="J440" i="16"/>
  <c r="J439" i="16"/>
  <c r="J438" i="16"/>
  <c r="J437" i="16"/>
  <c r="J436" i="16"/>
  <c r="J435" i="16"/>
  <c r="J434" i="16"/>
  <c r="J433" i="16"/>
  <c r="J432" i="16"/>
  <c r="J431" i="16"/>
  <c r="J430" i="16"/>
  <c r="J429" i="16"/>
  <c r="J428" i="16"/>
  <c r="J427" i="16"/>
  <c r="J426" i="16"/>
  <c r="J425" i="16"/>
  <c r="J424" i="16"/>
  <c r="J423" i="16"/>
  <c r="J422" i="16"/>
  <c r="J421" i="16"/>
  <c r="J420" i="16"/>
  <c r="J419" i="16"/>
  <c r="J418" i="16"/>
  <c r="J417" i="16"/>
  <c r="J416" i="16"/>
  <c r="J415" i="16"/>
  <c r="J414" i="16"/>
  <c r="J413" i="16"/>
  <c r="J412" i="16"/>
  <c r="J411" i="16"/>
  <c r="J410" i="16"/>
  <c r="J409" i="16"/>
  <c r="J408" i="16"/>
  <c r="J407" i="16"/>
  <c r="J406" i="16"/>
  <c r="J405" i="16"/>
  <c r="J404" i="16"/>
  <c r="J403" i="16"/>
  <c r="J402" i="16"/>
  <c r="J401" i="16"/>
  <c r="J400" i="16"/>
  <c r="J399" i="16"/>
  <c r="J398" i="16"/>
  <c r="J397" i="16"/>
  <c r="J396" i="16"/>
  <c r="J395" i="16"/>
  <c r="J394" i="16"/>
  <c r="J393" i="16"/>
  <c r="J392" i="16"/>
  <c r="J391" i="16"/>
  <c r="J390" i="16"/>
  <c r="J389" i="16"/>
  <c r="J388" i="16"/>
  <c r="J387" i="16"/>
  <c r="J386" i="16"/>
  <c r="J385" i="16"/>
  <c r="J384" i="16"/>
  <c r="J383" i="16"/>
  <c r="J382" i="16"/>
  <c r="J381" i="16"/>
  <c r="J380" i="16"/>
  <c r="J379" i="16"/>
  <c r="J378" i="16"/>
  <c r="J377" i="16"/>
  <c r="J376" i="16"/>
  <c r="J375" i="16"/>
  <c r="J374" i="16"/>
  <c r="J373" i="16"/>
  <c r="J372" i="16"/>
  <c r="J371" i="16"/>
  <c r="J370" i="16"/>
  <c r="J369" i="16"/>
  <c r="J368" i="16"/>
  <c r="J367" i="16"/>
  <c r="J366" i="16"/>
  <c r="J365" i="16"/>
  <c r="J364" i="16"/>
  <c r="J363" i="16"/>
  <c r="J362" i="16"/>
  <c r="J361" i="16"/>
  <c r="J360" i="16"/>
  <c r="J359" i="16"/>
  <c r="J358" i="16"/>
  <c r="J357" i="16"/>
  <c r="J356" i="16"/>
  <c r="J355" i="16"/>
  <c r="J354" i="16"/>
  <c r="J353" i="16"/>
  <c r="J352" i="16"/>
  <c r="J351" i="16"/>
  <c r="J350" i="16"/>
  <c r="J349" i="16"/>
  <c r="J348" i="16"/>
  <c r="J347" i="16"/>
  <c r="J346" i="16"/>
  <c r="J345" i="16"/>
  <c r="J344" i="16"/>
  <c r="J343" i="16"/>
  <c r="J342" i="16"/>
  <c r="J341" i="16"/>
  <c r="J340" i="16"/>
  <c r="J339" i="16"/>
  <c r="J338" i="16"/>
  <c r="J337" i="16"/>
  <c r="J336" i="16"/>
  <c r="J335" i="16"/>
  <c r="J334" i="16"/>
  <c r="J333" i="16"/>
  <c r="J332" i="16"/>
  <c r="J331" i="16"/>
  <c r="J330" i="16"/>
  <c r="J329" i="16"/>
  <c r="J328" i="16"/>
  <c r="J327" i="16"/>
  <c r="J326" i="16"/>
  <c r="J325" i="16"/>
  <c r="J324" i="16"/>
  <c r="J323" i="16"/>
  <c r="J322" i="16"/>
  <c r="J321" i="16"/>
  <c r="J320" i="16"/>
  <c r="J319" i="16"/>
  <c r="J318" i="16"/>
  <c r="J317" i="16"/>
  <c r="J316" i="16"/>
  <c r="J315" i="16"/>
  <c r="J314" i="16"/>
  <c r="J313" i="16"/>
  <c r="J312" i="16"/>
  <c r="J311" i="16"/>
  <c r="J310" i="16"/>
  <c r="J309" i="16"/>
  <c r="J308" i="16"/>
  <c r="J307" i="16"/>
  <c r="J306" i="16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2" i="16"/>
  <c r="J11" i="16"/>
  <c r="J10" i="16"/>
  <c r="J9" i="16"/>
  <c r="J8" i="16"/>
  <c r="J7" i="16"/>
  <c r="J6" i="16"/>
  <c r="J5" i="16"/>
  <c r="J4" i="16"/>
  <c r="J3" i="16"/>
  <c r="K2" i="16"/>
  <c r="J2" i="16"/>
  <c r="B8" i="23"/>
  <c r="P11" i="8" l="1" a="1"/>
  <c r="R14" i="6"/>
  <c r="R19" i="6"/>
  <c r="N4" i="6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G32" i="11"/>
  <c r="AG33" i="11"/>
  <c r="AG34" i="11"/>
  <c r="AG35" i="11"/>
  <c r="AG36" i="11"/>
  <c r="AG37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P22" i="11" l="1"/>
  <c r="Q22" i="11" s="1"/>
  <c r="M22" i="11"/>
  <c r="K22" i="11"/>
  <c r="I22" i="11"/>
  <c r="H22" i="11"/>
  <c r="N22" i="11" s="1"/>
  <c r="G22" i="11"/>
  <c r="J22" i="11" s="1"/>
  <c r="F22" i="11"/>
  <c r="E22" i="11"/>
  <c r="D22" i="11"/>
  <c r="C22" i="11"/>
  <c r="P21" i="11"/>
  <c r="Q21" i="11" s="1"/>
  <c r="M21" i="11"/>
  <c r="N21" i="11" s="1"/>
  <c r="K21" i="11"/>
  <c r="I21" i="11"/>
  <c r="H21" i="11"/>
  <c r="G21" i="11"/>
  <c r="F21" i="11"/>
  <c r="E21" i="11"/>
  <c r="D21" i="11"/>
  <c r="C21" i="11"/>
  <c r="P20" i="11"/>
  <c r="Q20" i="11" s="1"/>
  <c r="M20" i="11"/>
  <c r="K20" i="11"/>
  <c r="I20" i="11"/>
  <c r="H20" i="11"/>
  <c r="G20" i="11"/>
  <c r="F20" i="11"/>
  <c r="E20" i="11"/>
  <c r="D20" i="11"/>
  <c r="C20" i="11"/>
  <c r="P19" i="11"/>
  <c r="Q19" i="11" s="1"/>
  <c r="M19" i="11"/>
  <c r="K19" i="11"/>
  <c r="I19" i="11"/>
  <c r="H19" i="11"/>
  <c r="G19" i="11"/>
  <c r="F19" i="11"/>
  <c r="E19" i="11"/>
  <c r="D19" i="11"/>
  <c r="C19" i="11"/>
  <c r="P18" i="11"/>
  <c r="Q18" i="11" s="1"/>
  <c r="M18" i="11"/>
  <c r="K18" i="11"/>
  <c r="I18" i="11"/>
  <c r="H18" i="11"/>
  <c r="G18" i="11"/>
  <c r="F18" i="11"/>
  <c r="E18" i="11"/>
  <c r="D18" i="11"/>
  <c r="C18" i="11"/>
  <c r="P17" i="11"/>
  <c r="Q17" i="11" s="1"/>
  <c r="M17" i="11"/>
  <c r="N17" i="11" s="1"/>
  <c r="K17" i="11"/>
  <c r="L17" i="11" s="1"/>
  <c r="I17" i="11"/>
  <c r="H17" i="11"/>
  <c r="G17" i="11"/>
  <c r="F17" i="11"/>
  <c r="E17" i="11"/>
  <c r="D17" i="11"/>
  <c r="C17" i="11"/>
  <c r="P16" i="11"/>
  <c r="Q16" i="11" s="1"/>
  <c r="M16" i="11"/>
  <c r="N16" i="11" s="1"/>
  <c r="K16" i="11"/>
  <c r="L16" i="11" s="1"/>
  <c r="I16" i="11"/>
  <c r="H16" i="11"/>
  <c r="G16" i="11"/>
  <c r="F16" i="11"/>
  <c r="E16" i="11"/>
  <c r="D16" i="11"/>
  <c r="C16" i="11"/>
  <c r="P15" i="11"/>
  <c r="Q15" i="11" s="1"/>
  <c r="M15" i="11"/>
  <c r="K15" i="11"/>
  <c r="I15" i="11"/>
  <c r="H15" i="11"/>
  <c r="N15" i="11" s="1"/>
  <c r="G15" i="11"/>
  <c r="F15" i="11"/>
  <c r="E15" i="11"/>
  <c r="D15" i="11"/>
  <c r="C15" i="11"/>
  <c r="P14" i="11"/>
  <c r="Q14" i="11" s="1"/>
  <c r="M14" i="11"/>
  <c r="K14" i="11"/>
  <c r="I14" i="11"/>
  <c r="H14" i="11"/>
  <c r="G14" i="11"/>
  <c r="F14" i="11"/>
  <c r="E14" i="11"/>
  <c r="D14" i="11"/>
  <c r="C14" i="11"/>
  <c r="P13" i="11"/>
  <c r="Q13" i="11" s="1"/>
  <c r="M13" i="11"/>
  <c r="K13" i="11"/>
  <c r="L13" i="11" s="1"/>
  <c r="I13" i="11"/>
  <c r="J13" i="11" s="1"/>
  <c r="H13" i="11"/>
  <c r="G13" i="11"/>
  <c r="F13" i="11"/>
  <c r="E13" i="11"/>
  <c r="D13" i="11"/>
  <c r="C13" i="11"/>
  <c r="P12" i="11"/>
  <c r="Q12" i="11" s="1"/>
  <c r="M12" i="11"/>
  <c r="K12" i="11"/>
  <c r="L12" i="11" s="1"/>
  <c r="I12" i="11"/>
  <c r="H12" i="11"/>
  <c r="G12" i="11"/>
  <c r="F12" i="11"/>
  <c r="E12" i="11"/>
  <c r="D12" i="11"/>
  <c r="C12" i="11"/>
  <c r="P11" i="11"/>
  <c r="Q11" i="11" s="1"/>
  <c r="M11" i="11"/>
  <c r="K11" i="11"/>
  <c r="I11" i="11"/>
  <c r="H11" i="11"/>
  <c r="G11" i="11"/>
  <c r="J11" i="11" s="1"/>
  <c r="F11" i="11"/>
  <c r="E11" i="11"/>
  <c r="D11" i="11"/>
  <c r="C11" i="11"/>
  <c r="P10" i="11"/>
  <c r="Q10" i="11" s="1"/>
  <c r="M10" i="11"/>
  <c r="K10" i="11"/>
  <c r="I10" i="11"/>
  <c r="H10" i="11"/>
  <c r="N10" i="11" s="1"/>
  <c r="G10" i="11"/>
  <c r="F10" i="11"/>
  <c r="E10" i="11"/>
  <c r="D10" i="11"/>
  <c r="C10" i="11"/>
  <c r="P9" i="11"/>
  <c r="Q9" i="11" s="1"/>
  <c r="M9" i="11"/>
  <c r="K9" i="11"/>
  <c r="I9" i="11"/>
  <c r="H9" i="11"/>
  <c r="G9" i="11"/>
  <c r="F9" i="11"/>
  <c r="E9" i="11"/>
  <c r="D9" i="11"/>
  <c r="C9" i="11"/>
  <c r="P8" i="11"/>
  <c r="Q8" i="11" s="1"/>
  <c r="M8" i="11"/>
  <c r="K8" i="11"/>
  <c r="I8" i="11"/>
  <c r="H8" i="11"/>
  <c r="G8" i="11"/>
  <c r="F8" i="11"/>
  <c r="E8" i="11"/>
  <c r="D8" i="11"/>
  <c r="C8" i="11"/>
  <c r="P7" i="11"/>
  <c r="Q7" i="11" s="1"/>
  <c r="M7" i="11"/>
  <c r="K7" i="11"/>
  <c r="I7" i="11"/>
  <c r="H7" i="11"/>
  <c r="G7" i="11"/>
  <c r="F7" i="11"/>
  <c r="E7" i="11"/>
  <c r="D7" i="11"/>
  <c r="C7" i="11"/>
  <c r="P6" i="11"/>
  <c r="Q6" i="11" s="1"/>
  <c r="M6" i="11"/>
  <c r="K6" i="11"/>
  <c r="I6" i="11"/>
  <c r="H6" i="11"/>
  <c r="G6" i="11"/>
  <c r="F6" i="11"/>
  <c r="E6" i="11"/>
  <c r="D6" i="11"/>
  <c r="C6" i="11"/>
  <c r="P5" i="11"/>
  <c r="Q5" i="11" s="1"/>
  <c r="M5" i="11"/>
  <c r="N5" i="11" s="1"/>
  <c r="K5" i="11"/>
  <c r="I5" i="11"/>
  <c r="H5" i="11"/>
  <c r="G5" i="11"/>
  <c r="F5" i="11"/>
  <c r="E5" i="11"/>
  <c r="D5" i="11"/>
  <c r="C5" i="11"/>
  <c r="R24" i="8"/>
  <c r="R25" i="8"/>
  <c r="R26" i="8"/>
  <c r="R27" i="8"/>
  <c r="R28" i="8"/>
  <c r="Q25" i="8"/>
  <c r="Q26" i="8"/>
  <c r="Q27" i="8"/>
  <c r="Q28" i="8"/>
  <c r="Q24" i="8"/>
  <c r="T11" i="8"/>
  <c r="S11" i="8"/>
  <c r="R11" i="8"/>
  <c r="Q11" i="8"/>
  <c r="R18" i="8"/>
  <c r="R19" i="8"/>
  <c r="R20" i="8"/>
  <c r="R21" i="8"/>
  <c r="R22" i="8"/>
  <c r="R23" i="8"/>
  <c r="Q18" i="8"/>
  <c r="Q19" i="8"/>
  <c r="Q20" i="8"/>
  <c r="Q21" i="8"/>
  <c r="Q22" i="8"/>
  <c r="Q23" i="8"/>
  <c r="R17" i="8"/>
  <c r="Q17" i="8"/>
  <c r="M10" i="9"/>
  <c r="O14" i="8"/>
  <c r="J18" i="8"/>
  <c r="J12" i="8"/>
  <c r="O14" i="6"/>
  <c r="Q9" i="6"/>
  <c r="R4" i="6"/>
  <c r="H5" i="5"/>
  <c r="H12" i="5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5" i="5"/>
  <c r="H2" i="1"/>
  <c r="H3" i="1"/>
  <c r="H4" i="1"/>
  <c r="H5" i="1"/>
  <c r="H6" i="1"/>
  <c r="H7" i="1"/>
  <c r="H8" i="1"/>
  <c r="H9" i="1"/>
  <c r="H10" i="1"/>
  <c r="L10" i="11" l="1"/>
  <c r="J14" i="11"/>
  <c r="L9" i="11"/>
  <c r="L5" i="11"/>
  <c r="L21" i="11"/>
  <c r="L7" i="11"/>
  <c r="N6" i="11"/>
  <c r="N14" i="11"/>
  <c r="N20" i="11"/>
  <c r="J19" i="11"/>
  <c r="N7" i="11"/>
  <c r="N13" i="11"/>
  <c r="O13" i="11" s="1"/>
  <c r="N19" i="11"/>
  <c r="L6" i="11"/>
  <c r="J12" i="11"/>
  <c r="J18" i="11"/>
  <c r="N12" i="11"/>
  <c r="O12" i="11" s="1"/>
  <c r="N11" i="11"/>
  <c r="J20" i="11"/>
  <c r="N9" i="11"/>
  <c r="J16" i="11"/>
  <c r="O16" i="11" s="1"/>
  <c r="J17" i="11"/>
  <c r="J8" i="11"/>
  <c r="N18" i="11"/>
  <c r="N8" i="11"/>
  <c r="L15" i="11"/>
  <c r="O17" i="11"/>
  <c r="J9" i="11"/>
  <c r="L8" i="11"/>
  <c r="J5" i="11"/>
  <c r="O5" i="11" s="1"/>
  <c r="J21" i="11"/>
  <c r="O21" i="11" s="1"/>
  <c r="L20" i="11"/>
  <c r="J6" i="11"/>
  <c r="J10" i="11"/>
  <c r="O10" i="11" s="1"/>
  <c r="L14" i="11"/>
  <c r="L18" i="11"/>
  <c r="L22" i="11"/>
  <c r="O22" i="11" s="1"/>
  <c r="J7" i="11"/>
  <c r="J15" i="11"/>
  <c r="L11" i="11"/>
  <c r="L19" i="11"/>
  <c r="O7" i="11" l="1"/>
  <c r="O14" i="11"/>
  <c r="O20" i="11"/>
  <c r="O18" i="11"/>
  <c r="O6" i="11"/>
  <c r="O19" i="11"/>
  <c r="O11" i="11"/>
  <c r="O15" i="11"/>
  <c r="O8" i="11"/>
  <c r="O9" i="11"/>
  <c r="B4" i="23"/>
  <c r="B11" i="23"/>
  <c r="B13" i="23" s="1"/>
  <c r="B14" i="23" s="1"/>
  <c r="B10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<sst xmlns="http://schemas.openxmlformats.org/spreadsheetml/2006/main" count="4243" uniqueCount="597">
  <si>
    <t>Name</t>
  </si>
  <si>
    <t>Accounts</t>
  </si>
  <si>
    <t>Economics</t>
  </si>
  <si>
    <t>Mathematics</t>
  </si>
  <si>
    <t>Computer Sci</t>
  </si>
  <si>
    <t>English</t>
  </si>
  <si>
    <t>Business studies</t>
  </si>
  <si>
    <t>Total</t>
  </si>
  <si>
    <t>Average</t>
  </si>
  <si>
    <t>Angel</t>
  </si>
  <si>
    <t>Laiba</t>
  </si>
  <si>
    <t>Florence</t>
  </si>
  <si>
    <t>Anshika</t>
  </si>
  <si>
    <t>Anika</t>
  </si>
  <si>
    <t>Kashvi</t>
  </si>
  <si>
    <t>Mrudul</t>
  </si>
  <si>
    <t>Maxton</t>
  </si>
  <si>
    <t>Salvatore</t>
  </si>
  <si>
    <t>NAME</t>
  </si>
  <si>
    <t>ACC</t>
  </si>
  <si>
    <t>ECO</t>
  </si>
  <si>
    <t>MATHS</t>
  </si>
  <si>
    <t>ENG</t>
  </si>
  <si>
    <t>BST</t>
  </si>
  <si>
    <t>CS</t>
  </si>
  <si>
    <t>TOTAL</t>
  </si>
  <si>
    <t>AVERAGE</t>
  </si>
  <si>
    <t>SPEEDOMETER</t>
  </si>
  <si>
    <t>START</t>
  </si>
  <si>
    <t>INITIAL</t>
  </si>
  <si>
    <t>MIDDLE</t>
  </si>
  <si>
    <t>END</t>
  </si>
  <si>
    <t>MAX</t>
  </si>
  <si>
    <t>POINTER</t>
  </si>
  <si>
    <t>VALUE</t>
  </si>
  <si>
    <t>ENDER</t>
  </si>
  <si>
    <t>DATE</t>
  </si>
  <si>
    <t>SALES REPORT</t>
  </si>
  <si>
    <t>SALES MAN</t>
  </si>
  <si>
    <t>ITEM NAME</t>
  </si>
  <si>
    <t>COMPANY</t>
  </si>
  <si>
    <t>QTY</t>
  </si>
  <si>
    <t>RATE</t>
  </si>
  <si>
    <t>AMOUNT</t>
  </si>
  <si>
    <t>ANUJ</t>
  </si>
  <si>
    <t>ASHISH</t>
  </si>
  <si>
    <t>Antoinette Kennedy</t>
  </si>
  <si>
    <t>Julian Dominguez</t>
  </si>
  <si>
    <t>Lorenzo Keith</t>
  </si>
  <si>
    <t>Kellie Beck</t>
  </si>
  <si>
    <t>Tricia Cary</t>
  </si>
  <si>
    <t>Suzanne Weber</t>
  </si>
  <si>
    <t>Dora Fields</t>
  </si>
  <si>
    <t>Darlene Knight</t>
  </si>
  <si>
    <t>Carole Fink</t>
  </si>
  <si>
    <t>Vickie Wolf</t>
  </si>
  <si>
    <t>Myrna Garrison</t>
  </si>
  <si>
    <t>Marcia Willson</t>
  </si>
  <si>
    <t>Christi Humphrey</t>
  </si>
  <si>
    <t>Virgil Strong</t>
  </si>
  <si>
    <t>Kayla Patrick</t>
  </si>
  <si>
    <t>Evan Blankenship</t>
  </si>
  <si>
    <t>Lois Zhang</t>
  </si>
  <si>
    <t>Robert Vargas</t>
  </si>
  <si>
    <t>Julie Charles</t>
  </si>
  <si>
    <t>Vicki Holcomb</t>
  </si>
  <si>
    <t>COMPUTER</t>
  </si>
  <si>
    <t>Monia Napolitano</t>
  </si>
  <si>
    <t>Tamara Canu</t>
  </si>
  <si>
    <t>Emanuele Bruschi</t>
  </si>
  <si>
    <t>Patrizia Deiana</t>
  </si>
  <si>
    <t>Franceschina Montanari</t>
  </si>
  <si>
    <t>Licia Casale</t>
  </si>
  <si>
    <t>Delfina Bucci</t>
  </si>
  <si>
    <t>Christian Bernardi</t>
  </si>
  <si>
    <t>Filiberto Bonelli</t>
  </si>
  <si>
    <t>Waltraud Giordani</t>
  </si>
  <si>
    <t>Rosetta Giudice</t>
  </si>
  <si>
    <t>Luca Donati</t>
  </si>
  <si>
    <t>Gaetana Rocco</t>
  </si>
  <si>
    <t>Rosalia de Marco</t>
  </si>
  <si>
    <t>Bianco Errico</t>
  </si>
  <si>
    <t>Adelaide Magni</t>
  </si>
  <si>
    <t>Válter Izzo</t>
  </si>
  <si>
    <t>MOUSE</t>
  </si>
  <si>
    <t>CPU</t>
  </si>
  <si>
    <t>KEYBOARD</t>
  </si>
  <si>
    <t>DELL</t>
  </si>
  <si>
    <t>LUNIX</t>
  </si>
  <si>
    <t>INTEX</t>
  </si>
  <si>
    <t>HP</t>
  </si>
  <si>
    <t>Dell</t>
  </si>
  <si>
    <t>Linux</t>
  </si>
  <si>
    <t>Intex</t>
  </si>
  <si>
    <t>Column1</t>
  </si>
  <si>
    <t>Column2</t>
  </si>
  <si>
    <t>EMP CODE</t>
  </si>
  <si>
    <t>DEPT</t>
  </si>
  <si>
    <t>REGION</t>
  </si>
  <si>
    <t>SALES_1</t>
  </si>
  <si>
    <t>SALES_2</t>
  </si>
  <si>
    <t>SALES_3</t>
  </si>
  <si>
    <t>SALES_4</t>
  </si>
  <si>
    <t>TARGET</t>
  </si>
  <si>
    <t>SALARY</t>
  </si>
  <si>
    <t>BONUS%</t>
  </si>
  <si>
    <t>Aisha</t>
  </si>
  <si>
    <t>Rohan</t>
  </si>
  <si>
    <t>Neha</t>
  </si>
  <si>
    <t>Aman</t>
  </si>
  <si>
    <t>Simran</t>
  </si>
  <si>
    <t>Karan</t>
  </si>
  <si>
    <t>Pooja</t>
  </si>
  <si>
    <t>Arjun</t>
  </si>
  <si>
    <t>Rahul</t>
  </si>
  <si>
    <t>Sneha</t>
  </si>
  <si>
    <t>Vikram</t>
  </si>
  <si>
    <t>Tanya</t>
  </si>
  <si>
    <t>Mohit</t>
  </si>
  <si>
    <t>Riya</t>
  </si>
  <si>
    <t>Dev</t>
  </si>
  <si>
    <t>Kriti</t>
  </si>
  <si>
    <t>Ankit</t>
  </si>
  <si>
    <t>Meera</t>
  </si>
  <si>
    <t>Suresh</t>
  </si>
  <si>
    <t>Kavya</t>
  </si>
  <si>
    <t>Sales</t>
  </si>
  <si>
    <t>HR</t>
  </si>
  <si>
    <t>IT</t>
  </si>
  <si>
    <t>North</t>
  </si>
  <si>
    <t>South</t>
  </si>
  <si>
    <t>East</t>
  </si>
  <si>
    <t>West</t>
  </si>
  <si>
    <t>DSUM</t>
  </si>
  <si>
    <t>DAVG</t>
  </si>
  <si>
    <t>AVG AMT</t>
  </si>
  <si>
    <t>RAHUL</t>
  </si>
  <si>
    <t>DCOUNT</t>
  </si>
  <si>
    <t>TTL REORDS</t>
  </si>
  <si>
    <t>DEV</t>
  </si>
  <si>
    <t>SOUTH</t>
  </si>
  <si>
    <t>DMAX</t>
  </si>
  <si>
    <t>MAX PRICE</t>
  </si>
  <si>
    <t>KAVYA</t>
  </si>
  <si>
    <t>DMIN</t>
  </si>
  <si>
    <t>MIN PRICE</t>
  </si>
  <si>
    <t>MEERA</t>
  </si>
  <si>
    <t>JANUARY</t>
  </si>
  <si>
    <t>MARCH</t>
  </si>
  <si>
    <t>CATEGORY</t>
  </si>
  <si>
    <t>RENT</t>
  </si>
  <si>
    <t>FOOD</t>
  </si>
  <si>
    <t>TRAVEL</t>
  </si>
  <si>
    <t>FEB</t>
  </si>
  <si>
    <t xml:space="preserve">TOTAL </t>
  </si>
  <si>
    <t>AMT</t>
  </si>
  <si>
    <t>EmpID</t>
  </si>
  <si>
    <t>Department</t>
  </si>
  <si>
    <t>Salary</t>
  </si>
  <si>
    <t>Age</t>
  </si>
  <si>
    <t>City</t>
  </si>
  <si>
    <t>E101</t>
  </si>
  <si>
    <t>Aarav</t>
  </si>
  <si>
    <t>Delhi</t>
  </si>
  <si>
    <t>E102</t>
  </si>
  <si>
    <t>Vivaan</t>
  </si>
  <si>
    <t>Mumbai</t>
  </si>
  <si>
    <t>E103</t>
  </si>
  <si>
    <t>Aditya</t>
  </si>
  <si>
    <t>Bangalore</t>
  </si>
  <si>
    <t>E104</t>
  </si>
  <si>
    <t>Krishna</t>
  </si>
  <si>
    <t>Finance</t>
  </si>
  <si>
    <t>Chennai</t>
  </si>
  <si>
    <t>E105</t>
  </si>
  <si>
    <t>Ishaan</t>
  </si>
  <si>
    <t>Kolkata</t>
  </si>
  <si>
    <t>E106</t>
  </si>
  <si>
    <t>Shaurya</t>
  </si>
  <si>
    <t>Pune</t>
  </si>
  <si>
    <t>E107</t>
  </si>
  <si>
    <t>Ayaan</t>
  </si>
  <si>
    <t>E108</t>
  </si>
  <si>
    <t>Kabir</t>
  </si>
  <si>
    <t>E109</t>
  </si>
  <si>
    <t>E110</t>
  </si>
  <si>
    <t>E111</t>
  </si>
  <si>
    <t>Yash</t>
  </si>
  <si>
    <t>E112</t>
  </si>
  <si>
    <t>E113</t>
  </si>
  <si>
    <t>Raj</t>
  </si>
  <si>
    <t>E114</t>
  </si>
  <si>
    <t>E115</t>
  </si>
  <si>
    <t>Manav</t>
  </si>
  <si>
    <t>E116</t>
  </si>
  <si>
    <t>Om</t>
  </si>
  <si>
    <t>E117</t>
  </si>
  <si>
    <t>Harsh</t>
  </si>
  <si>
    <t>E118</t>
  </si>
  <si>
    <t>Nikhil</t>
  </si>
  <si>
    <t>E119</t>
  </si>
  <si>
    <t>Tanmay</t>
  </si>
  <si>
    <t>E120</t>
  </si>
  <si>
    <t>Siddharth</t>
  </si>
  <si>
    <t>E121</t>
  </si>
  <si>
    <t>Parth</t>
  </si>
  <si>
    <t>E122</t>
  </si>
  <si>
    <t>Ritvik</t>
  </si>
  <si>
    <t>E123</t>
  </si>
  <si>
    <t>Atharv</t>
  </si>
  <si>
    <t>E124</t>
  </si>
  <si>
    <t>Dhruv</t>
  </si>
  <si>
    <t>E125</t>
  </si>
  <si>
    <t>Vihaan</t>
  </si>
  <si>
    <t>E126</t>
  </si>
  <si>
    <t>Samar</t>
  </si>
  <si>
    <t>E127</t>
  </si>
  <si>
    <t>Keshav</t>
  </si>
  <si>
    <t>E128</t>
  </si>
  <si>
    <t>Ayush</t>
  </si>
  <si>
    <t>E129</t>
  </si>
  <si>
    <t>Rudra</t>
  </si>
  <si>
    <t>E130</t>
  </si>
  <si>
    <t>Laksh</t>
  </si>
  <si>
    <t>INDEX</t>
  </si>
  <si>
    <t>INDEX W MATCH</t>
  </si>
  <si>
    <t>XLOOKUP</t>
  </si>
  <si>
    <t>DEPARTMENT</t>
  </si>
  <si>
    <t>AGE</t>
  </si>
  <si>
    <t>CITY</t>
  </si>
  <si>
    <t>ADITYA</t>
  </si>
  <si>
    <t>VLOOKUP</t>
  </si>
  <si>
    <t>AYAAN</t>
  </si>
  <si>
    <t xml:space="preserve"> HLOOKUP</t>
  </si>
  <si>
    <t>VLOOKUP W CHOOSE</t>
  </si>
  <si>
    <t>EMP  CODE</t>
  </si>
  <si>
    <t>Sales Efficiency by Department-Region</t>
  </si>
  <si>
    <t>Source: Sheet6 A1:K21 | Total Sales = SALES_1 + SALES_2 + SALES_3 + SALES_4 | Total Comp = Salary + Salary x Bonus%</t>
  </si>
  <si>
    <t>Region</t>
  </si>
  <si>
    <t>Headcount</t>
  </si>
  <si>
    <t>Total Sales</t>
  </si>
  <si>
    <t>Total Salary</t>
  </si>
  <si>
    <t>Total Bonus</t>
  </si>
  <si>
    <t>Total Comp</t>
  </si>
  <si>
    <t>Sales / Salary</t>
  </si>
  <si>
    <t>Sales / Total Comp</t>
  </si>
  <si>
    <t>Rank: Salary</t>
  </si>
  <si>
    <t>Rank: Total Comp</t>
  </si>
  <si>
    <t>Key Takeaways</t>
  </si>
  <si>
    <t>Best overall</t>
  </si>
  <si>
    <t>IT - North</t>
  </si>
  <si>
    <t>Best by sales/salary</t>
  </si>
  <si>
    <t>Lowest overall</t>
  </si>
  <si>
    <t>HR - South</t>
  </si>
  <si>
    <t>Department averages: Sales / Total Comp</t>
  </si>
  <si>
    <t>IT 8.21x | Sales 7.04x | HR 4.44x</t>
  </si>
  <si>
    <t>Interpretation</t>
  </si>
  <si>
    <t>IT regions dominate the top four efficiency positions, with IT - North producing the highest sales per salary and total comp.</t>
  </si>
  <si>
    <t>Sales - North is the strongest non-IT combination, helped by the largest aggregated sales base.</t>
  </si>
  <si>
    <t>HR combinations trail because sales volumes are materially lower despite lower salaries and bonus rates.</t>
  </si>
  <si>
    <t>SALES TABLE</t>
  </si>
  <si>
    <t>SHEE</t>
  </si>
  <si>
    <t>Aarav Mehta</t>
  </si>
  <si>
    <t>Priya Nair</t>
  </si>
  <si>
    <t>Marketing</t>
  </si>
  <si>
    <t>Rohan Kapoor</t>
  </si>
  <si>
    <t>Operations</t>
  </si>
  <si>
    <t>Sneha Iyer</t>
  </si>
  <si>
    <t>Vikram Singh</t>
  </si>
  <si>
    <t>Neha Sharma</t>
  </si>
  <si>
    <t>Arjun Rao</t>
  </si>
  <si>
    <t>Kavya Das</t>
  </si>
  <si>
    <t>Ishaan Verma</t>
  </si>
  <si>
    <t>Ananya Gupta</t>
  </si>
  <si>
    <t>Kabir Khan</t>
  </si>
  <si>
    <t>Mira Joshi</t>
  </si>
  <si>
    <t>Dev Patel</t>
  </si>
  <si>
    <t>Tara Menon</t>
  </si>
  <si>
    <t>Nikhil Shah</t>
  </si>
  <si>
    <t>Aisha Ali</t>
  </si>
  <si>
    <t>Manav Bhat</t>
  </si>
  <si>
    <t>Riya Sen</t>
  </si>
  <si>
    <t>Aditya Bose</t>
  </si>
  <si>
    <t>Pooja Reddy</t>
  </si>
  <si>
    <t>Samar Malhotra</t>
  </si>
  <si>
    <t>Meera Pillai</t>
  </si>
  <si>
    <t>Yash Agarwal</t>
  </si>
  <si>
    <t>Naina Bedi</t>
  </si>
  <si>
    <t>Karan Gill</t>
  </si>
  <si>
    <t>Sara Thomas</t>
  </si>
  <si>
    <t>Harsh Jain</t>
  </si>
  <si>
    <t>Leela Roy</t>
  </si>
  <si>
    <t>Omar Sheikh</t>
  </si>
  <si>
    <t>Ira Chawla</t>
  </si>
  <si>
    <t>DATA VALIDATION</t>
  </si>
  <si>
    <t>NORTH</t>
  </si>
  <si>
    <t>TEXT TO COLUMNS</t>
  </si>
  <si>
    <t>PAYROLL</t>
  </si>
  <si>
    <t>EMPLOYEE NAME</t>
  </si>
  <si>
    <t>BASIC SALARY</t>
  </si>
  <si>
    <t>HRA</t>
  </si>
  <si>
    <t>DA</t>
  </si>
  <si>
    <t>TA</t>
  </si>
  <si>
    <t>PF</t>
  </si>
  <si>
    <t>PER DAY SALARY</t>
  </si>
  <si>
    <t>PER HOUR SALARY</t>
  </si>
  <si>
    <t>TOTAL LEAVE</t>
  </si>
  <si>
    <t>LEAVE DEDUCT SALARY</t>
  </si>
  <si>
    <t>HALF DAY</t>
  </si>
  <si>
    <t>HALF DAY SALARY</t>
  </si>
  <si>
    <t>OVER TIME</t>
  </si>
  <si>
    <t>OVERTIME SALARY</t>
  </si>
  <si>
    <t>GROSS SALARY</t>
  </si>
  <si>
    <t>INCOME TAX</t>
  </si>
  <si>
    <t>NET SALARY</t>
  </si>
  <si>
    <t>ANKIT</t>
  </si>
  <si>
    <t>MANISH</t>
  </si>
  <si>
    <t>SURAJ</t>
  </si>
  <si>
    <t>SACHIN</t>
  </si>
  <si>
    <t>LALIT</t>
  </si>
  <si>
    <t>GAURAV</t>
  </si>
  <si>
    <t>PANKAJ</t>
  </si>
  <si>
    <t>NARAYAN</t>
  </si>
  <si>
    <t>HANUMAN</t>
  </si>
  <si>
    <t>BHOLENATH</t>
  </si>
  <si>
    <t>SHANKAR</t>
  </si>
  <si>
    <t>SARASWATI</t>
  </si>
  <si>
    <t>MAHA LAKSHMI</t>
  </si>
  <si>
    <t>MAHAKAL</t>
  </si>
  <si>
    <t>MAA BHAWANI</t>
  </si>
  <si>
    <t>MAA SHARDA</t>
  </si>
  <si>
    <t>MAA VAISHNODEVI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</si>
  <si>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</si>
  <si>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</si>
  <si>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</si>
  <si>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</si>
  <si>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</si>
  <si>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</si>
  <si>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</si>
  <si>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</si>
  <si>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</si>
  <si>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</si>
  <si>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</si>
  <si>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</si>
  <si>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</si>
  <si>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</si>
  <si>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</si>
  <si>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</si>
  <si>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</si>
  <si>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</si>
  <si>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</si>
  <si>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</si>
  <si>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</si>
  <si>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</si>
  <si>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</si>
  <si>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</si>
  <si>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</si>
  <si>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</si>
  <si>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</si>
  <si>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</si>
  <si>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</si>
  <si>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</si>
  <si>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</si>
  <si>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P</t>
  </si>
  <si>
    <t>L</t>
  </si>
  <si>
    <t>TOTAL PRESENT</t>
  </si>
  <si>
    <t>TOTAL ABSENT</t>
  </si>
  <si>
    <t>A</t>
  </si>
  <si>
    <t>FOR GOAL SEEK</t>
  </si>
  <si>
    <t xml:space="preserve">PURCHASE ITEM </t>
  </si>
  <si>
    <t>AC</t>
  </si>
  <si>
    <t>Product Category</t>
  </si>
  <si>
    <t>ProductName</t>
  </si>
  <si>
    <t>Qty Sold</t>
  </si>
  <si>
    <t>Unit Price(USD)</t>
  </si>
  <si>
    <t>TTL Sales(USD)</t>
  </si>
  <si>
    <t>Sales Rep</t>
  </si>
  <si>
    <t>Payment Method</t>
  </si>
  <si>
    <t>Customer Type</t>
  </si>
  <si>
    <t>Electronics</t>
  </si>
  <si>
    <t>Bluetooth Speaker</t>
  </si>
  <si>
    <t>Ava Smith</t>
  </si>
  <si>
    <t>Credit Card</t>
  </si>
  <si>
    <t>Retail</t>
  </si>
  <si>
    <t>Home Appliances</t>
  </si>
  <si>
    <t>Air Fryer</t>
  </si>
  <si>
    <t>Liam Johnson</t>
  </si>
  <si>
    <t>UPI</t>
  </si>
  <si>
    <t>Wholesale</t>
  </si>
  <si>
    <t>Furniture</t>
  </si>
  <si>
    <t>Office Chair</t>
  </si>
  <si>
    <t>Noah Brown</t>
  </si>
  <si>
    <t>Bank Transfer</t>
  </si>
  <si>
    <t>Fashion</t>
  </si>
  <si>
    <t>Running Shoes</t>
  </si>
  <si>
    <t>Emma Davis</t>
  </si>
  <si>
    <t>Cash</t>
  </si>
  <si>
    <t>Central</t>
  </si>
  <si>
    <t>Groceries</t>
  </si>
  <si>
    <t>Organic Rice Pack</t>
  </si>
  <si>
    <t>Olivia Wilson</t>
  </si>
  <si>
    <t>Debit Card</t>
  </si>
  <si>
    <t>Distributor</t>
  </si>
  <si>
    <t>Wireless Mouse</t>
  </si>
  <si>
    <t>Beauty</t>
  </si>
  <si>
    <t>Skin Care Kit</t>
  </si>
  <si>
    <t>Sophia Miller</t>
  </si>
  <si>
    <t>Sports</t>
  </si>
  <si>
    <t>Yoga Mat</t>
  </si>
  <si>
    <t>Mason Taylor</t>
  </si>
  <si>
    <t>Corporate</t>
  </si>
  <si>
    <t>Toys</t>
  </si>
  <si>
    <t>Building Blocks Set</t>
  </si>
  <si>
    <t>Isabella Anderson</t>
  </si>
  <si>
    <t>Stationery</t>
  </si>
  <si>
    <t>Premium Notebook</t>
  </si>
  <si>
    <t>James Thomas</t>
  </si>
  <si>
    <t>Smart Watch</t>
  </si>
  <si>
    <t>Mia Jackson</t>
  </si>
  <si>
    <t>Vacuum Cleaner</t>
  </si>
  <si>
    <t>Study Desk</t>
  </si>
  <si>
    <t>Leather Handbag</t>
  </si>
  <si>
    <t>Olive Oil Bottle</t>
  </si>
  <si>
    <t>Hair Dryer</t>
  </si>
  <si>
    <t>Dumbbell Set</t>
  </si>
  <si>
    <t>Remote Car</t>
  </si>
  <si>
    <t>Desk Organizer</t>
  </si>
  <si>
    <t>USB-C Charger</t>
  </si>
  <si>
    <t>Electric Kettle</t>
  </si>
  <si>
    <t>Bookshelf</t>
  </si>
  <si>
    <t>Denim Jacket</t>
  </si>
  <si>
    <t>Coffee Beans</t>
  </si>
  <si>
    <t>Perfume Set</t>
  </si>
  <si>
    <t>Cricket Bat</t>
  </si>
  <si>
    <t>Puzzle Game</t>
  </si>
  <si>
    <t>Marker Pack</t>
  </si>
  <si>
    <t>Tablet Stand</t>
  </si>
  <si>
    <t>Sandwich Maker</t>
  </si>
  <si>
    <t>Grand Total</t>
  </si>
  <si>
    <t>Sum of Qty Sold</t>
  </si>
  <si>
    <t>(All)</t>
  </si>
  <si>
    <t>Row Labels</t>
  </si>
  <si>
    <t>East Region</t>
  </si>
  <si>
    <t>North Region</t>
  </si>
  <si>
    <t>South Region</t>
  </si>
  <si>
    <t>West Region</t>
  </si>
  <si>
    <t xml:space="preserve">FOR SCENERIO SUMMARY </t>
  </si>
  <si>
    <t>LAPPY</t>
  </si>
  <si>
    <t>TABLE</t>
  </si>
  <si>
    <t>FOR DATA TABLE</t>
  </si>
  <si>
    <t>`</t>
  </si>
  <si>
    <t>neha</t>
  </si>
  <si>
    <t>MUSIC</t>
  </si>
  <si>
    <t>Units Sold</t>
  </si>
  <si>
    <t>Sarah</t>
  </si>
  <si>
    <t>Laptop</t>
  </si>
  <si>
    <t>Paid</t>
  </si>
  <si>
    <t>USB-C Hub</t>
  </si>
  <si>
    <t>Chloe</t>
  </si>
  <si>
    <t>Monitor</t>
  </si>
  <si>
    <t>Pending</t>
  </si>
  <si>
    <t>Keyboard</t>
  </si>
  <si>
    <t>Mike</t>
  </si>
  <si>
    <t>Mouse</t>
  </si>
  <si>
    <t>Cancelled</t>
  </si>
  <si>
    <t>Elena</t>
  </si>
  <si>
    <t>David</t>
  </si>
  <si>
    <t>Create a "Priority" column. If Revenue &gt; 5000, label it "High", otherwise "Standard".</t>
  </si>
  <si>
    <t>Q1.</t>
  </si>
  <si>
    <t>PRIORITY</t>
  </si>
  <si>
    <t>Order_ID</t>
  </si>
  <si>
    <t>Order_Date</t>
  </si>
  <si>
    <t>Customer_Name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</si>
  <si>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</si>
  <si>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</si>
  <si>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</si>
  <si>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</si>
  <si>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</si>
  <si>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</si>
  <si>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</si>
  <si>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</si>
  <si>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</si>
  <si>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Neha Patil</t>
  </si>
  <si>
    <t>Hyderabad</t>
  </si>
  <si>
    <t>Headphones</t>
  </si>
  <si>
    <t>Amit Shah</t>
  </si>
  <si>
    <t>Ajay</t>
  </si>
  <si>
    <t>Karan Verma</t>
  </si>
  <si>
    <t>Sofa</t>
  </si>
  <si>
    <t>Priya Sharma</t>
  </si>
  <si>
    <t>Clothing</t>
  </si>
  <si>
    <t>T-Shirt</t>
  </si>
  <si>
    <t>Chair</t>
  </si>
  <si>
    <t>Rohit Mehta</t>
  </si>
  <si>
    <t>Jeans</t>
  </si>
  <si>
    <t>Jacket</t>
  </si>
  <si>
    <t>Profit &amp; Loss Statement</t>
  </si>
  <si>
    <t>Amount</t>
  </si>
  <si>
    <t>Revenue / Total Sales</t>
  </si>
  <si>
    <t>Implied Cost of Sales</t>
  </si>
  <si>
    <t>Profit per Source Data</t>
  </si>
  <si>
    <t>Key Metrics</t>
  </si>
  <si>
    <t>Value</t>
  </si>
  <si>
    <t>Gross Margin</t>
  </si>
  <si>
    <t>Net Margin</t>
  </si>
  <si>
    <t>Source Rows</t>
  </si>
  <si>
    <t>Assets</t>
  </si>
  <si>
    <t>Cash &amp; Cash Equivalents</t>
  </si>
  <si>
    <t>Total Assets</t>
  </si>
  <si>
    <t>Liabilities</t>
  </si>
  <si>
    <t>Total Liabilities</t>
  </si>
  <si>
    <t>Equity</t>
  </si>
  <si>
    <t>Retained Earnings / Current Profit</t>
  </si>
  <si>
    <t>Total Equity</t>
  </si>
  <si>
    <t>Balance Check</t>
  </si>
  <si>
    <t>Total Total Sales</t>
  </si>
  <si>
    <t>Total Profit</t>
  </si>
  <si>
    <t>Values</t>
  </si>
  <si>
    <t>MIS Report Dashboard</t>
  </si>
  <si>
    <t>Horizontal chart: Sales by Region</t>
  </si>
  <si>
    <t>Vertical chart: Profit by Product Category</t>
  </si>
  <si>
    <t>Column3</t>
  </si>
  <si>
    <t>Column4</t>
  </si>
  <si>
    <t>Column5</t>
  </si>
  <si>
    <t>MIS REPORT - CASH FLOW, STOCK AND BRS</t>
  </si>
  <si>
    <t>Simple report built from the MIS sales data, P&amp;L, and balance sheet assumptions</t>
  </si>
  <si>
    <t>Source Inputs</t>
  </si>
  <si>
    <t>Net Profit</t>
  </si>
  <si>
    <t>Balance Sheet Cash</t>
  </si>
  <si>
    <t>Operating Expenses</t>
  </si>
  <si>
    <t>Opening Cash</t>
  </si>
  <si>
    <t>Cash Flow Statement</t>
  </si>
  <si>
    <t>Opening Cash Balance</t>
  </si>
  <si>
    <t>Cash Collected from Customers</t>
  </si>
  <si>
    <t>Operating Expenses Paid</t>
  </si>
  <si>
    <t>Net Cash from Operating Activities</t>
  </si>
  <si>
    <t>Investing Activities</t>
  </si>
  <si>
    <t>Financing Activities</t>
  </si>
  <si>
    <t>Net Change in Cash</t>
  </si>
  <si>
    <t>Ending Cash Balance</t>
  </si>
  <si>
    <t>Cash Check vs Balance Sheet</t>
  </si>
  <si>
    <t>Status</t>
  </si>
  <si>
    <t>Stock Statement</t>
  </si>
  <si>
    <t>Average Price</t>
  </si>
  <si>
    <t>Profit Margin</t>
  </si>
  <si>
    <t>Stock Totals</t>
  </si>
  <si>
    <t>Total Units Sold</t>
  </si>
  <si>
    <t>BRS - Bank Reconciliation Statement</t>
  </si>
  <si>
    <t>Type</t>
  </si>
  <si>
    <t>Check</t>
  </si>
  <si>
    <t>Cash in hand</t>
  </si>
  <si>
    <t>Bank / card receipt</t>
  </si>
  <si>
    <t>Bank / digital receipt</t>
  </si>
  <si>
    <t>Total Receipts</t>
  </si>
  <si>
    <t>Cash + bank</t>
  </si>
  <si>
    <t>BRS Check vs Revenue</t>
  </si>
  <si>
    <t>Source Sales Data - copied from MIS report</t>
  </si>
  <si>
    <t>Difference</t>
  </si>
  <si>
    <t>Balance sheet</t>
  </si>
  <si>
    <t>ORDER_ID</t>
  </si>
  <si>
    <t>SALES REP</t>
  </si>
  <si>
    <t>PRODUCT</t>
  </si>
  <si>
    <t>UNIT SOLD</t>
  </si>
  <si>
    <t>UNIT PRICE</t>
  </si>
  <si>
    <t>REVENUE</t>
  </si>
  <si>
    <t>PAYMENT STATUS</t>
  </si>
  <si>
    <t>Q2.</t>
  </si>
  <si>
    <t>If Payment Status is "Pending", display "Call", otherwise leave blank.</t>
  </si>
  <si>
    <t xml:space="preserve">Q3. </t>
  </si>
  <si>
    <t>What is the total Revenue generated specifically in the "North" region?</t>
  </si>
  <si>
    <t>Q4.</t>
  </si>
  <si>
    <t>What are the total Units Sold for "Laptops"?</t>
  </si>
  <si>
    <t>Q5.</t>
  </si>
  <si>
    <t>Find total Revenue for "Sarah" selling "Monitors".</t>
  </si>
  <si>
    <t>Q6.</t>
  </si>
  <si>
    <t>Calculate total Revenue for "Paid" orders in the "West" region.</t>
  </si>
  <si>
    <t>Q7.</t>
  </si>
  <si>
    <t>How many orders in the "East" sold more than 20 units?</t>
  </si>
  <si>
    <t>Q8.</t>
  </si>
  <si>
    <t>Count the number of "Cancelled" orders handled by "Chloe".</t>
  </si>
  <si>
    <t>Q9.</t>
  </si>
  <si>
    <t>Total Revenue for all sales made in January 2024.</t>
  </si>
  <si>
    <t>OrderID</t>
  </si>
  <si>
    <t>OrderDate</t>
  </si>
  <si>
    <t>CustomerName</t>
  </si>
  <si>
    <t>Product Name</t>
  </si>
  <si>
    <t>Unit Price</t>
  </si>
  <si>
    <t>Discount</t>
  </si>
  <si>
    <t>Order Date</t>
  </si>
  <si>
    <t>Customer Name</t>
  </si>
  <si>
    <t>Ttl</t>
  </si>
  <si>
    <t xml:space="preserve">Operating Expenses </t>
  </si>
  <si>
    <t xml:space="preserve">Net Profit </t>
  </si>
  <si>
    <t xml:space="preserve">Liabilities </t>
  </si>
  <si>
    <t xml:space="preserve">Contributed Capital </t>
  </si>
  <si>
    <t>Sum of TTL Sales</t>
  </si>
  <si>
    <t>TTL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</si>
</sst>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x"/>
    <numFmt numFmtId="165" formatCode="0.0%"/>
    <numFmt numFmtId="166" formatCode="&quot;₹&quot;#,##0.00"/>
    <numFmt numFmtId="167" formatCode="\₹#,##0.00"/>
  </numFmts>
  <fonts count="51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b/>
      <i/>
      <sz val="36"/>
      <color theme="1"/>
      <name val="Bodoni MT"/>
      <family val="1"/>
    </font>
    <font>
      <sz val="11"/>
      <color rgb="FF333333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749992370372631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color rgb="FF222222"/>
      <name val="Aptos Narrow"/>
      <scheme val="minor"/>
    </font>
    <font>
      <b/>
      <sz val="11"/>
      <color rgb="FF000000"/>
      <name val="Aptos Narrow"/>
      <scheme val="minor"/>
    </font>
    <font>
      <sz val="11"/>
      <color theme="0"/>
      <name val="Algerian"/>
      <family val="5"/>
    </font>
    <font>
      <b/>
      <i/>
      <sz val="26"/>
      <color theme="0"/>
      <name val="Algerian"/>
      <family val="5"/>
    </font>
    <font>
      <b/>
      <sz val="11"/>
      <color rgb="FFFFFFFF"/>
      <name val="Aptos"/>
    </font>
    <font>
      <sz val="11"/>
      <color rgb="FF000000"/>
      <name val="Aptos"/>
    </font>
    <font>
      <sz val="11"/>
      <color theme="1"/>
      <name val="Calibri"/>
    </font>
    <font>
      <b/>
      <sz val="11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1F4E78"/>
      </top>
      <bottom/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/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D9E2F3"/>
      </left>
      <right/>
      <top style="thin">
        <color rgb="FF1F4E78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1F4E78"/>
      </top>
      <bottom/>
      <diagonal/>
    </border>
    <border>
      <left style="thin">
        <color rgb="FF1F4E78"/>
      </left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1D2330"/>
      </bottom>
      <diagonal/>
    </border>
    <border>
      <left/>
      <right/>
      <top/>
      <bottom style="thin">
        <color rgb="FFA6A6A6"/>
      </bottom>
      <diagonal/>
    </border>
  </borders>
  <cellStyleXfs count="42">
    <xf numFmtId="0" fontId="0" fillId="0" borderId="0"/>
    <xf numFmtId="0" fontId="31" fillId="0" borderId="0" applyNumberFormat="0" applyFill="0" applyBorder="0" applyAlignment="0" applyProtection="0"/>
    <xf numFmtId="0" fontId="32" fillId="0" borderId="30" applyNumberFormat="0" applyFill="0" applyAlignment="0" applyProtection="0"/>
    <xf numFmtId="0" fontId="33" fillId="0" borderId="31" applyNumberFormat="0" applyFill="0" applyAlignment="0" applyProtection="0"/>
    <xf numFmtId="0" fontId="34" fillId="0" borderId="32" applyNumberFormat="0" applyFill="0" applyAlignment="0" applyProtection="0"/>
    <xf numFmtId="0" fontId="34" fillId="0" borderId="0" applyNumberFormat="0" applyFill="0" applyBorder="0" applyAlignment="0" applyProtection="0"/>
    <xf numFmtId="0" fontId="35" fillId="23" borderId="0" applyNumberFormat="0" applyBorder="0" applyAlignment="0" applyProtection="0"/>
    <xf numFmtId="0" fontId="36" fillId="24" borderId="0" applyNumberFormat="0" applyBorder="0" applyAlignment="0" applyProtection="0"/>
    <xf numFmtId="0" fontId="37" fillId="25" borderId="0" applyNumberFormat="0" applyBorder="0" applyAlignment="0" applyProtection="0"/>
    <xf numFmtId="0" fontId="38" fillId="26" borderId="33" applyNumberFormat="0" applyAlignment="0" applyProtection="0"/>
    <xf numFmtId="0" fontId="39" fillId="27" borderId="34" applyNumberFormat="0" applyAlignment="0" applyProtection="0"/>
    <xf numFmtId="0" fontId="40" fillId="27" borderId="33" applyNumberFormat="0" applyAlignment="0" applyProtection="0"/>
    <xf numFmtId="0" fontId="41" fillId="0" borderId="35" applyNumberFormat="0" applyFill="0" applyAlignment="0" applyProtection="0"/>
    <xf numFmtId="0" fontId="13" fillId="28" borderId="36" applyNumberFormat="0" applyAlignment="0" applyProtection="0"/>
    <xf numFmtId="0" fontId="42" fillId="0" borderId="0" applyNumberFormat="0" applyFill="0" applyBorder="0" applyAlignment="0" applyProtection="0"/>
    <xf numFmtId="0" fontId="30" fillId="29" borderId="37" applyNumberFormat="0" applyFont="0" applyAlignment="0" applyProtection="0"/>
    <xf numFmtId="0" fontId="43" fillId="0" borderId="0" applyNumberFormat="0" applyFill="0" applyBorder="0" applyAlignment="0" applyProtection="0"/>
    <xf numFmtId="0" fontId="5" fillId="0" borderId="38" applyNumberFormat="0" applyFill="0" applyAlignment="0" applyProtection="0"/>
    <xf numFmtId="0" fontId="6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3" borderId="0" applyNumberFormat="0" applyBorder="0" applyAlignment="0" applyProtection="0"/>
    <xf numFmtId="0" fontId="6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6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6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6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6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</cellStyleXfs>
  <cellXfs count="1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6" fillId="5" borderId="0" xfId="0" applyFont="1" applyFill="1"/>
    <xf numFmtId="0" fontId="5" fillId="0" borderId="0" xfId="0" applyFont="1"/>
    <xf numFmtId="0" fontId="8" fillId="0" borderId="0" xfId="0" applyFont="1"/>
    <xf numFmtId="0" fontId="9" fillId="0" borderId="0" xfId="0" applyFont="1"/>
    <xf numFmtId="0" fontId="6" fillId="6" borderId="0" xfId="0" applyFont="1" applyFill="1" applyAlignment="1">
      <alignment horizontal="center"/>
    </xf>
    <xf numFmtId="0" fontId="0" fillId="3" borderId="0" xfId="0" applyFill="1"/>
    <xf numFmtId="0" fontId="10" fillId="7" borderId="0" xfId="0" applyFont="1" applyFill="1"/>
    <xf numFmtId="0" fontId="11" fillId="0" borderId="0" xfId="0" applyFont="1"/>
    <xf numFmtId="0" fontId="12" fillId="3" borderId="0" xfId="0" applyFont="1" applyFill="1" applyAlignment="1">
      <alignment horizontal="center"/>
    </xf>
    <xf numFmtId="0" fontId="13" fillId="8" borderId="4" xfId="0" applyFont="1" applyFill="1" applyBorder="1"/>
    <xf numFmtId="0" fontId="13" fillId="8" borderId="5" xfId="0" applyFont="1" applyFill="1" applyBorder="1"/>
    <xf numFmtId="0" fontId="0" fillId="9" borderId="4" xfId="0" applyFill="1" applyBorder="1"/>
    <xf numFmtId="0" fontId="0" fillId="9" borderId="5" xfId="0" applyFill="1" applyBorder="1"/>
    <xf numFmtId="0" fontId="0" fillId="0" borderId="4" xfId="0" applyBorder="1"/>
    <xf numFmtId="0" fontId="0" fillId="0" borderId="5" xfId="0" applyBorder="1"/>
    <xf numFmtId="0" fontId="11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14" fillId="10" borderId="0" xfId="0" applyFont="1" applyFill="1"/>
    <xf numFmtId="0" fontId="12" fillId="3" borderId="0" xfId="0" applyFont="1" applyFill="1"/>
    <xf numFmtId="0" fontId="5" fillId="12" borderId="0" xfId="0" applyFont="1" applyFill="1"/>
    <xf numFmtId="0" fontId="15" fillId="11" borderId="0" xfId="0" applyFont="1" applyFill="1"/>
    <xf numFmtId="0" fontId="16" fillId="0" borderId="0" xfId="0" applyFont="1"/>
    <xf numFmtId="3" fontId="18" fillId="13" borderId="0" xfId="0" applyNumberFormat="1" applyFont="1" applyFill="1" applyAlignment="1">
      <alignment horizontal="right"/>
    </xf>
    <xf numFmtId="3" fontId="18" fillId="13" borderId="6" xfId="0" applyNumberFormat="1" applyFont="1" applyFill="1" applyBorder="1" applyAlignment="1">
      <alignment horizontal="right"/>
    </xf>
    <xf numFmtId="164" fontId="18" fillId="13" borderId="0" xfId="0" applyNumberFormat="1" applyFont="1" applyFill="1" applyAlignment="1">
      <alignment horizontal="right"/>
    </xf>
    <xf numFmtId="164" fontId="18" fillId="13" borderId="6" xfId="0" applyNumberFormat="1" applyFont="1" applyFill="1" applyBorder="1" applyAlignment="1">
      <alignment horizontal="right"/>
    </xf>
    <xf numFmtId="0" fontId="19" fillId="12" borderId="7" xfId="0" applyFont="1" applyFill="1" applyBorder="1" applyAlignment="1">
      <alignment horizontal="center"/>
    </xf>
    <xf numFmtId="1" fontId="18" fillId="13" borderId="0" xfId="0" applyNumberFormat="1" applyFont="1" applyFill="1" applyAlignment="1">
      <alignment horizontal="center"/>
    </xf>
    <xf numFmtId="0" fontId="19" fillId="12" borderId="0" xfId="0" applyFont="1" applyFill="1" applyAlignment="1">
      <alignment horizontal="center"/>
    </xf>
    <xf numFmtId="1" fontId="18" fillId="13" borderId="8" xfId="0" applyNumberFormat="1" applyFont="1" applyFill="1" applyBorder="1" applyAlignment="1">
      <alignment horizontal="center"/>
    </xf>
    <xf numFmtId="1" fontId="18" fillId="13" borderId="6" xfId="0" applyNumberFormat="1" applyFont="1" applyFill="1" applyBorder="1" applyAlignment="1">
      <alignment horizontal="center"/>
    </xf>
    <xf numFmtId="0" fontId="18" fillId="13" borderId="0" xfId="0" applyFont="1" applyFill="1" applyAlignment="1">
      <alignment horizontal="left"/>
    </xf>
    <xf numFmtId="0" fontId="18" fillId="13" borderId="8" xfId="0" applyFont="1" applyFill="1" applyBorder="1" applyAlignment="1">
      <alignment horizontal="left"/>
    </xf>
    <xf numFmtId="0" fontId="18" fillId="13" borderId="6" xfId="0" applyFont="1" applyFill="1" applyBorder="1" applyAlignment="1">
      <alignment horizontal="left"/>
    </xf>
    <xf numFmtId="0" fontId="6" fillId="6" borderId="0" xfId="0" applyFont="1" applyFill="1"/>
    <xf numFmtId="0" fontId="20" fillId="6" borderId="0" xfId="0" applyFont="1" applyFill="1"/>
    <xf numFmtId="0" fontId="21" fillId="6" borderId="0" xfId="0" applyFont="1" applyFill="1" applyAlignment="1">
      <alignment horizontal="center"/>
    </xf>
    <xf numFmtId="164" fontId="17" fillId="13" borderId="0" xfId="0" applyNumberFormat="1" applyFont="1" applyFill="1" applyAlignment="1">
      <alignment horizontal="right"/>
    </xf>
    <xf numFmtId="0" fontId="22" fillId="14" borderId="9" xfId="0" applyFont="1" applyFill="1" applyBorder="1" applyAlignment="1">
      <alignment horizontal="center"/>
    </xf>
    <xf numFmtId="0" fontId="23" fillId="13" borderId="0" xfId="0" applyFont="1" applyFill="1" applyAlignment="1">
      <alignment horizontal="left"/>
    </xf>
    <xf numFmtId="0" fontId="23" fillId="13" borderId="10" xfId="0" applyFont="1" applyFill="1" applyBorder="1" applyAlignment="1">
      <alignment horizontal="left"/>
    </xf>
    <xf numFmtId="0" fontId="23" fillId="13" borderId="11" xfId="0" applyFont="1" applyFill="1" applyBorder="1" applyAlignment="1">
      <alignment horizontal="left"/>
    </xf>
    <xf numFmtId="0" fontId="23" fillId="13" borderId="12" xfId="0" applyFont="1" applyFill="1" applyBorder="1" applyAlignment="1">
      <alignment horizontal="left"/>
    </xf>
    <xf numFmtId="3" fontId="23" fillId="13" borderId="0" xfId="0" applyNumberFormat="1" applyFont="1" applyFill="1" applyAlignment="1">
      <alignment horizontal="right"/>
    </xf>
    <xf numFmtId="3" fontId="23" fillId="13" borderId="10" xfId="0" applyNumberFormat="1" applyFont="1" applyFill="1" applyBorder="1" applyAlignment="1">
      <alignment horizontal="right"/>
    </xf>
    <xf numFmtId="3" fontId="23" fillId="13" borderId="9" xfId="0" applyNumberFormat="1" applyFont="1" applyFill="1" applyBorder="1" applyAlignment="1">
      <alignment horizontal="right"/>
    </xf>
    <xf numFmtId="3" fontId="23" fillId="13" borderId="15" xfId="0" applyNumberFormat="1" applyFont="1" applyFill="1" applyBorder="1" applyAlignment="1">
      <alignment horizontal="right"/>
    </xf>
    <xf numFmtId="3" fontId="23" fillId="13" borderId="11" xfId="0" applyNumberFormat="1" applyFont="1" applyFill="1" applyBorder="1" applyAlignment="1">
      <alignment horizontal="right"/>
    </xf>
    <xf numFmtId="3" fontId="23" fillId="13" borderId="12" xfId="0" applyNumberFormat="1" applyFont="1" applyFill="1" applyBorder="1" applyAlignment="1">
      <alignment horizontal="right"/>
    </xf>
    <xf numFmtId="165" fontId="23" fillId="13" borderId="16" xfId="0" applyNumberFormat="1" applyFont="1" applyFill="1" applyBorder="1" applyAlignment="1">
      <alignment horizontal="right"/>
    </xf>
    <xf numFmtId="165" fontId="23" fillId="13" borderId="17" xfId="0" applyNumberFormat="1" applyFont="1" applyFill="1" applyBorder="1" applyAlignment="1">
      <alignment horizontal="right"/>
    </xf>
    <xf numFmtId="165" fontId="23" fillId="13" borderId="18" xfId="0" applyNumberFormat="1" applyFont="1" applyFill="1" applyBorder="1" applyAlignment="1">
      <alignment horizontal="right"/>
    </xf>
    <xf numFmtId="0" fontId="22" fillId="14" borderId="19" xfId="0" applyFont="1" applyFill="1" applyBorder="1" applyAlignment="1">
      <alignment horizontal="center"/>
    </xf>
    <xf numFmtId="0" fontId="23" fillId="13" borderId="15" xfId="0" applyFont="1" applyFill="1" applyBorder="1" applyAlignment="1">
      <alignment horizontal="left"/>
    </xf>
    <xf numFmtId="0" fontId="23" fillId="13" borderId="9" xfId="0" applyFont="1" applyFill="1" applyBorder="1" applyAlignment="1">
      <alignment horizontal="left"/>
    </xf>
    <xf numFmtId="0" fontId="22" fillId="14" borderId="20" xfId="0" applyFont="1" applyFill="1" applyBorder="1" applyAlignment="1">
      <alignment horizontal="center"/>
    </xf>
    <xf numFmtId="0" fontId="24" fillId="0" borderId="0" xfId="0" applyFont="1"/>
    <xf numFmtId="0" fontId="26" fillId="17" borderId="0" xfId="0" applyFont="1" applyFill="1" applyAlignment="1">
      <alignment horizontal="center"/>
    </xf>
    <xf numFmtId="0" fontId="25" fillId="17" borderId="22" xfId="0" applyFont="1" applyFill="1" applyBorder="1" applyAlignment="1">
      <alignment horizontal="center"/>
    </xf>
    <xf numFmtId="0" fontId="25" fillId="17" borderId="23" xfId="0" applyFont="1" applyFill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7" fillId="18" borderId="25" xfId="0" applyFont="1" applyFill="1" applyBorder="1" applyAlignment="1">
      <alignment horizontal="center"/>
    </xf>
    <xf numFmtId="0" fontId="27" fillId="18" borderId="26" xfId="0" applyFont="1" applyFill="1" applyBorder="1" applyAlignment="1">
      <alignment horizontal="center"/>
    </xf>
    <xf numFmtId="0" fontId="28" fillId="17" borderId="21" xfId="0" applyFont="1" applyFill="1" applyBorder="1" applyAlignment="1">
      <alignment horizontal="center"/>
    </xf>
    <xf numFmtId="0" fontId="28" fillId="17" borderId="22" xfId="0" applyFont="1" applyFill="1" applyBorder="1" applyAlignment="1">
      <alignment horizontal="center"/>
    </xf>
    <xf numFmtId="0" fontId="28" fillId="17" borderId="23" xfId="0" applyFont="1" applyFill="1" applyBorder="1" applyAlignment="1">
      <alignment horizontal="center"/>
    </xf>
    <xf numFmtId="0" fontId="29" fillId="18" borderId="24" xfId="0" applyFont="1" applyFill="1" applyBorder="1" applyAlignment="1">
      <alignment horizontal="left"/>
    </xf>
    <xf numFmtId="4" fontId="29" fillId="18" borderId="25" xfId="0" applyNumberFormat="1" applyFont="1" applyFill="1" applyBorder="1"/>
    <xf numFmtId="1" fontId="29" fillId="18" borderId="25" xfId="0" applyNumberFormat="1" applyFont="1" applyFill="1" applyBorder="1" applyAlignment="1">
      <alignment horizontal="center"/>
    </xf>
    <xf numFmtId="4" fontId="29" fillId="18" borderId="26" xfId="0" applyNumberFormat="1" applyFont="1" applyFill="1" applyBorder="1"/>
    <xf numFmtId="0" fontId="29" fillId="0" borderId="24" xfId="0" applyFont="1" applyBorder="1" applyAlignment="1">
      <alignment horizontal="left"/>
    </xf>
    <xf numFmtId="4" fontId="29" fillId="0" borderId="25" xfId="0" applyNumberFormat="1" applyFont="1" applyBorder="1"/>
    <xf numFmtId="1" fontId="29" fillId="0" borderId="25" xfId="0" applyNumberFormat="1" applyFont="1" applyBorder="1" applyAlignment="1">
      <alignment horizontal="center"/>
    </xf>
    <xf numFmtId="4" fontId="29" fillId="0" borderId="26" xfId="0" applyNumberFormat="1" applyFont="1" applyBorder="1"/>
    <xf numFmtId="0" fontId="29" fillId="0" borderId="27" xfId="0" applyFont="1" applyBorder="1" applyAlignment="1">
      <alignment horizontal="left"/>
    </xf>
    <xf numFmtId="4" fontId="29" fillId="0" borderId="28" xfId="0" applyNumberFormat="1" applyFont="1" applyBorder="1"/>
    <xf numFmtId="1" fontId="29" fillId="0" borderId="28" xfId="0" applyNumberFormat="1" applyFont="1" applyBorder="1" applyAlignment="1">
      <alignment horizontal="center"/>
    </xf>
    <xf numFmtId="4" fontId="29" fillId="0" borderId="29" xfId="0" applyNumberFormat="1" applyFont="1" applyBorder="1"/>
    <xf numFmtId="0" fontId="29" fillId="18" borderId="25" xfId="0" applyFont="1" applyFill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3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0" xfId="0" pivotButton="1" applyFont="1"/>
    <xf numFmtId="0" fontId="5" fillId="0" borderId="0" xfId="0" applyFont="1" applyAlignment="1">
      <alignment horizontal="left"/>
    </xf>
    <xf numFmtId="1" fontId="5" fillId="0" borderId="0" xfId="0" applyNumberFormat="1" applyFont="1"/>
    <xf numFmtId="166" fontId="5" fillId="0" borderId="0" xfId="0" applyNumberFormat="1" applyFont="1"/>
    <xf numFmtId="0" fontId="5" fillId="19" borderId="0" xfId="0" applyFont="1" applyFill="1"/>
    <xf numFmtId="0" fontId="5" fillId="20" borderId="0" xfId="0" applyFont="1" applyFill="1"/>
    <xf numFmtId="0" fontId="0" fillId="21" borderId="0" xfId="0" applyFill="1"/>
    <xf numFmtId="0" fontId="0" fillId="22" borderId="0" xfId="0" applyFill="1"/>
    <xf numFmtId="0" fontId="25" fillId="11" borderId="0" xfId="0" applyFont="1" applyFill="1"/>
    <xf numFmtId="4" fontId="0" fillId="0" borderId="0" xfId="0" applyNumberFormat="1"/>
    <xf numFmtId="165" fontId="0" fillId="0" borderId="0" xfId="0" applyNumberFormat="1"/>
    <xf numFmtId="0" fontId="25" fillId="54" borderId="0" xfId="0" applyFont="1" applyFill="1"/>
    <xf numFmtId="0" fontId="10" fillId="6" borderId="0" xfId="0" applyFont="1" applyFill="1"/>
    <xf numFmtId="0" fontId="46" fillId="11" borderId="39" xfId="0" applyFont="1" applyFill="1" applyBorder="1" applyAlignment="1">
      <alignment horizontal="left"/>
    </xf>
    <xf numFmtId="0" fontId="47" fillId="13" borderId="0" xfId="0" applyFont="1" applyFill="1" applyAlignment="1">
      <alignment horizontal="left"/>
    </xf>
    <xf numFmtId="0" fontId="45" fillId="12" borderId="40" xfId="0" applyFont="1" applyFill="1" applyBorder="1" applyAlignment="1">
      <alignment horizontal="left"/>
    </xf>
    <xf numFmtId="4" fontId="48" fillId="13" borderId="0" xfId="0" applyNumberFormat="1" applyFont="1" applyFill="1" applyAlignment="1">
      <alignment horizontal="right"/>
    </xf>
    <xf numFmtId="0" fontId="49" fillId="12" borderId="0" xfId="0" applyFont="1" applyFill="1" applyAlignment="1">
      <alignment horizontal="center"/>
    </xf>
    <xf numFmtId="0" fontId="46" fillId="11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12" borderId="0" xfId="0" applyFont="1" applyFill="1" applyAlignment="1">
      <alignment vertical="center"/>
    </xf>
    <xf numFmtId="165" fontId="0" fillId="0" borderId="0" xfId="0" applyNumberFormat="1" applyAlignment="1">
      <alignment vertical="center"/>
    </xf>
    <xf numFmtId="4" fontId="5" fillId="12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44" fillId="11" borderId="0" xfId="0" applyFont="1" applyFill="1" applyAlignment="1">
      <alignment vertical="center"/>
    </xf>
    <xf numFmtId="0" fontId="50" fillId="0" borderId="0" xfId="0" applyFont="1" applyAlignment="1">
      <alignment vertical="center"/>
    </xf>
    <xf numFmtId="14" fontId="50" fillId="0" borderId="0" xfId="0" applyNumberFormat="1" applyFont="1" applyAlignment="1">
      <alignment vertical="center"/>
    </xf>
    <xf numFmtId="167" fontId="27" fillId="13" borderId="0" xfId="0" applyNumberFormat="1" applyFont="1" applyFill="1" applyAlignment="1">
      <alignment horizontal="right" vertical="center"/>
    </xf>
    <xf numFmtId="167" fontId="27" fillId="13" borderId="0" xfId="0" applyNumberFormat="1" applyFont="1" applyFill="1" applyAlignment="1">
      <alignment horizontal="right"/>
    </xf>
    <xf numFmtId="167" fontId="27" fillId="1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7" fontId="27" fillId="0" borderId="0" xfId="0" applyNumberFormat="1" applyFont="1" applyAlignment="1">
      <alignment horizontal="right"/>
    </xf>
    <xf numFmtId="0" fontId="25" fillId="5" borderId="0" xfId="0" applyFont="1" applyFill="1"/>
    <xf numFmtId="0" fontId="5" fillId="55" borderId="0" xfId="0" applyFont="1" applyFill="1"/>
    <xf numFmtId="0" fontId="5" fillId="2" borderId="0" xfId="0" applyFont="1" applyFill="1"/>
    <xf numFmtId="0" fontId="0" fillId="0" borderId="0" xfId="0" applyAlignment="1">
      <alignment horizontal="center"/>
    </xf>
    <xf numFmtId="0" fontId="22" fillId="15" borderId="13" xfId="0" applyFont="1" applyFill="1" applyBorder="1" applyAlignment="1">
      <alignment horizontal="center"/>
    </xf>
    <xf numFmtId="0" fontId="22" fillId="15" borderId="14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8" fillId="21" borderId="0" xfId="0" applyFont="1" applyFill="1"/>
    <xf numFmtId="0" fontId="0" fillId="56" borderId="0" xfId="0" applyFill="1"/>
    <xf numFmtId="0" fontId="0" fillId="0" borderId="0" xfId="0" applyFont="1"/>
    <xf numFmtId="0" fontId="0" fillId="56" borderId="0" xfId="0" applyFont="1" applyFill="1"/>
    <xf numFmtId="0" fontId="0" fillId="55" borderId="0" xfId="0" applyFont="1" applyFill="1"/>
    <xf numFmtId="0" fontId="0" fillId="55" borderId="0" xfId="0" applyFill="1"/>
    <xf numFmtId="0" fontId="0" fillId="57" borderId="0" xfId="0" applyFill="1"/>
    <xf numFmtId="0" fontId="6" fillId="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1"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1D2330"/>
        </patternFill>
      </fill>
    </dxf>
    <dxf>
      <fill>
        <patternFill patternType="solid">
          <fgColor indexed="64"/>
          <bgColor rgb="FF1D2330"/>
        </patternFill>
      </fill>
    </dxf>
    <dxf>
      <fill>
        <patternFill patternType="solid">
          <fgColor indexed="64"/>
          <bgColor rgb="FF1D2330"/>
        </patternFill>
      </fill>
    </dxf>
    <dxf>
      <fill>
        <patternFill patternType="solid">
          <fgColor indexed="64"/>
          <bgColor rgb="FF1D233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1D2330"/>
        </patternFill>
      </fill>
    </dxf>
    <dxf>
      <fill>
        <patternFill patternType="solid">
          <fgColor indexed="64"/>
          <bgColor rgb="FF1D2330"/>
        </patternFill>
      </fill>
    </dxf>
    <dxf>
      <fill>
        <patternFill patternType="solid">
          <fgColor indexed="64"/>
          <bgColor rgb="FF1D2330"/>
        </patternFill>
      </fill>
    </dxf>
    <dxf>
      <fill>
        <patternFill patternType="solid">
          <fgColor indexed="64"/>
          <bgColor rgb="FF1D233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b val="0"/>
        <i/>
      </font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b val="0"/>
        <i/>
      </font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1D2330"/>
        </patternFill>
      </fill>
    </dxf>
    <dxf>
      <fill>
        <patternFill patternType="solid">
          <fgColor indexed="64"/>
          <bgColor rgb="FF1D2330"/>
        </patternFill>
      </fill>
    </dxf>
    <dxf>
      <fill>
        <patternFill patternType="solid">
          <fgColor indexed="64"/>
          <bgColor rgb="FF1D2330"/>
        </patternFill>
      </fill>
    </dxf>
    <dxf>
      <fill>
        <patternFill patternType="solid">
          <fgColor indexed="64"/>
          <bgColor rgb="FF1D233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D23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rgb="FFA6A6A6"/>
        </top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D2330"/>
        </patternFill>
      </fill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numFmt numFmtId="19" formatCode="dd/mm/yyyy"/>
      <alignment vertical="center"/>
    </dxf>
    <dxf>
      <font>
        <color rgb="FF008000"/>
        <name val="Aptos Narrow"/>
      </font>
      <alignment vertical="center"/>
    </dxf>
    <dxf>
      <font>
        <color rgb="FF008000"/>
        <name val="Aptos Narrow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scheme val="minor"/>
      </font>
      <fill>
        <patternFill patternType="solid">
          <fgColor indexed="64"/>
          <bgColor rgb="FF1D2330"/>
        </patternFill>
      </fill>
      <alignment vertical="center"/>
    </dxf>
    <dxf>
      <font>
        <color rgb="FF000000"/>
      </font>
      <numFmt numFmtId="0" formatCode="General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numFmt numFmtId="0" formatCode="General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numFmt numFmtId="0" formatCode="General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left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alignment horizontal="center"/>
    </dxf>
    <dxf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indexed="64"/>
          <bgColor rgb="FF000000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1" formatCode="0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1" formatCode="0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1" formatCode="0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</font>
      <alignment horizontal="left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</font>
    </dxf>
    <dxf>
      <border>
        <bottom style="thin">
          <color rgb="FF000000"/>
        </bottom>
      </border>
    </dxf>
    <dxf>
      <font>
        <b/>
        <sz val="11"/>
        <color rgb="FFFFFFFF"/>
        <name val="Calibri"/>
      </font>
      <fill>
        <patternFill patternType="solid">
          <fgColor indexed="64"/>
          <bgColor rgb="FF000000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66" formatCode="&quot;₹&quot;#,##0.00"/>
    </dxf>
    <dxf>
      <numFmt numFmtId="166" formatCode="&quot;₹&quot;#,##0.00"/>
    </dxf>
    <dxf>
      <numFmt numFmtId="1" formatCode="0"/>
    </dxf>
    <dxf>
      <numFmt numFmtId="166" formatCode="&quot;₹&quot;#,##0.00"/>
    </dxf>
    <dxf>
      <numFmt numFmtId="166" formatCode="&quot;₹&quot;#,##0.00"/>
    </dxf>
    <dxf>
      <numFmt numFmtId="1" formatCode="0"/>
    </dxf>
    <dxf>
      <numFmt numFmtId="166" formatCode="&quot;₹&quot;#,##0.00"/>
    </dxf>
    <dxf>
      <numFmt numFmtId="166" formatCode="&quot;₹&quot;#,##0.00"/>
    </dxf>
    <dxf>
      <numFmt numFmtId="1" formatCode="0"/>
    </dxf>
    <dxf>
      <numFmt numFmtId="166" formatCode="&quot;₹&quot;#,##0.00"/>
    </dxf>
    <dxf>
      <numFmt numFmtId="166" formatCode="&quot;₹&quot;#,##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₹&quot;#,##0.00"/>
    </dxf>
    <dxf>
      <numFmt numFmtId="166" formatCode="&quot;₹&quot;#,##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74081364829394"/>
          <c:y val="0.18303258967629046"/>
          <c:w val="0.45962489063867018"/>
          <c:h val="0.76604148439778363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9E-457E-AE59-F781D73F840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9E-457E-AE59-F781D73F840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9E-457E-AE59-F781D73F840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9E-457E-AE59-F781D73F8409}"/>
              </c:ext>
            </c:extLst>
          </c:dPt>
          <c:dPt>
            <c:idx val="4"/>
            <c:bubble3D val="0"/>
            <c:explosion val="16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AD-43B0-8066-C84821F7774B}"/>
              </c:ext>
            </c:extLst>
          </c:dPt>
          <c:cat>
            <c:strRef>
              <c:f>Speedometer!$A$3:$A$7</c:f>
              <c:strCache>
                <c:ptCount val="5"/>
                <c:pt idx="0">
                  <c:v>START</c:v>
                </c:pt>
                <c:pt idx="1">
                  <c:v>INITIAL</c:v>
                </c:pt>
                <c:pt idx="2">
                  <c:v>MIDDLE</c:v>
                </c:pt>
                <c:pt idx="3">
                  <c:v>END</c:v>
                </c:pt>
                <c:pt idx="4">
                  <c:v>MAX</c:v>
                </c:pt>
              </c:strCache>
            </c:strRef>
          </c:cat>
          <c:val>
            <c:numRef>
              <c:f>Speedometer!$B$3:$B$7</c:f>
              <c:numCache>
                <c:formatCode>General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45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D-43B0-8066-C84821F77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pieChart>
        <c:varyColors val="1"/>
        <c:ser>
          <c:idx val="1"/>
          <c:order val="1"/>
          <c:tx>
            <c:strRef>
              <c:f>Speedometer!$E$1</c:f>
              <c:strCache>
                <c:ptCount val="1"/>
                <c:pt idx="0">
                  <c:v>POINTER</c:v>
                </c:pt>
              </c:strCache>
            </c:strRef>
          </c:tx>
          <c:spPr>
            <a:solidFill>
              <a:schemeClr val="accent1"/>
            </a:solidFill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AD-43B0-8066-C84821F7774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9E-457E-AE59-F781D73F8409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AAD-43B0-8066-C84821F7774B}"/>
              </c:ext>
            </c:extLst>
          </c:dPt>
          <c:val>
            <c:numRef>
              <c:f>Speedometer!$F$3:$F$5</c:f>
              <c:numCache>
                <c:formatCode>General</c:formatCode>
                <c:ptCount val="3"/>
                <c:pt idx="0">
                  <c:v>88</c:v>
                </c:pt>
                <c:pt idx="1">
                  <c:v>5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AD-43B0-8066-C84821F77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32594779819189268"/>
          <c:w val="0.34487685914260718"/>
          <c:h val="0.5747947652376785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93-4022-82CF-43C06CD3A6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E77-4DBA-87E6-5053B2BE84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93-4022-82CF-43C06CD3A6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Speedometer!$E$3:$E$5</c:f>
              <c:strCache>
                <c:ptCount val="3"/>
                <c:pt idx="0">
                  <c:v>VALUE</c:v>
                </c:pt>
                <c:pt idx="1">
                  <c:v>POINTER</c:v>
                </c:pt>
                <c:pt idx="2">
                  <c:v>ENDER</c:v>
                </c:pt>
              </c:strCache>
            </c:strRef>
          </c:cat>
          <c:val>
            <c:numRef>
              <c:f>Speedometer!$F$3:$F$5</c:f>
              <c:numCache>
                <c:formatCode>General</c:formatCode>
                <c:ptCount val="3"/>
                <c:pt idx="0">
                  <c:v>88</c:v>
                </c:pt>
                <c:pt idx="1">
                  <c:v>5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7-4DBA-87E6-5053B2BE843E}"/>
            </c:ext>
          </c:extLst>
        </c:ser>
        <c:ser>
          <c:idx val="1"/>
          <c:order val="1"/>
          <c:tx>
            <c:strRef>
              <c:f>Speedometer!$F$3:$F$4</c:f>
              <c:strCache>
                <c:ptCount val="2"/>
                <c:pt idx="0">
                  <c:v>88</c:v>
                </c:pt>
                <c:pt idx="1">
                  <c:v>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93-4022-82CF-43C06CD3A6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Speedometer!$E$1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77-4DBA-87E6-5053B2BE843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DASHBOARDS!$U$1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DASHBOARDS!$T$3:$T$5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DASHBOARDS!$U$3:$U$5</c:f>
              <c:numCache>
                <c:formatCode>#,##0.00</c:formatCode>
                <c:ptCount val="3"/>
                <c:pt idx="0">
                  <c:v>66424</c:v>
                </c:pt>
                <c:pt idx="1">
                  <c:v>321520.3</c:v>
                </c:pt>
                <c:pt idx="2">
                  <c:v>496636.35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8-4B98-92DF-BC33494591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8327840"/>
        <c:axId val="2048328800"/>
      </c:barChart>
      <c:catAx>
        <c:axId val="204832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28800"/>
        <c:crosses val="autoZero"/>
        <c:auto val="1"/>
        <c:lblAlgn val="ctr"/>
        <c:lblOffset val="100"/>
        <c:noMultiLvlLbl val="0"/>
      </c:catAx>
      <c:valAx>
        <c:axId val="204832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2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67625997969765"/>
          <c:y val="0.1823573303337083"/>
          <c:w val="0.71052072759197782"/>
          <c:h val="0.73136520434945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DASHBOARDS!$X$1</c:f>
              <c:strCache>
                <c:ptCount val="1"/>
                <c:pt idx="0">
                  <c:v>Total Profit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DASHBOARDS!$W$3:$W$5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DASHBOARDS!$X$3:$X$5</c:f>
              <c:numCache>
                <c:formatCode>#,##0.00</c:formatCode>
                <c:ptCount val="3"/>
                <c:pt idx="0">
                  <c:v>32323.39</c:v>
                </c:pt>
                <c:pt idx="1">
                  <c:v>72447.58</c:v>
                </c:pt>
                <c:pt idx="2">
                  <c:v>59154.58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9-4136-8093-5100D64E4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897675952"/>
        <c:axId val="1897676432"/>
      </c:barChart>
      <c:catAx>
        <c:axId val="189767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676432"/>
        <c:crosses val="autoZero"/>
        <c:auto val="1"/>
        <c:lblAlgn val="ctr"/>
        <c:lblOffset val="100"/>
        <c:noMultiLvlLbl val="0"/>
      </c:catAx>
      <c:valAx>
        <c:axId val="1897676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67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8</xdr:row>
      <xdr:rowOff>38100</xdr:rowOff>
    </xdr:from>
    <xdr:to>
      <xdr:col>14</xdr:col>
      <xdr:colOff>365760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66A8E4-8C76-5342-3F07-F225FF929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358140</xdr:colOff>
      <xdr:row>44</xdr:row>
      <xdr:rowOff>80010</xdr:rowOff>
    </xdr:from>
    <xdr:to>
      <xdr:col>17</xdr:col>
      <xdr:colOff>403859</xdr:colOff>
      <xdr:row>45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4EB67-A013-A987-8547-72FC202B1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6694</xdr:colOff>
      <xdr:row>0</xdr:row>
      <xdr:rowOff>0</xdr:rowOff>
    </xdr:from>
    <xdr:ext cx="2104046" cy="93769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011B81-76C3-D66A-DCAA-EBA15C46535C}"/>
            </a:ext>
          </a:extLst>
        </xdr:cNvPr>
        <xdr:cNvSpPr/>
      </xdr:nvSpPr>
      <xdr:spPr>
        <a:xfrm>
          <a:off x="5226394" y="0"/>
          <a:ext cx="2104046" cy="93769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9</xdr:col>
      <xdr:colOff>555334</xdr:colOff>
      <xdr:row>11</xdr:row>
      <xdr:rowOff>30263</xdr:rowOff>
    </xdr:from>
    <xdr:ext cx="184731" cy="93769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10AC80-B856-E246-BA05-3F881908900F}"/>
            </a:ext>
          </a:extLst>
        </xdr:cNvPr>
        <xdr:cNvSpPr/>
      </xdr:nvSpPr>
      <xdr:spPr>
        <a:xfrm>
          <a:off x="6994234" y="2041943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8</xdr:row>
      <xdr:rowOff>7620</xdr:rowOff>
    </xdr:from>
    <xdr:to>
      <xdr:col>9</xdr:col>
      <xdr:colOff>175260</xdr:colOff>
      <xdr:row>23</xdr:row>
      <xdr:rowOff>7620</xdr:rowOff>
    </xdr:to>
    <xdr:graphicFrame macro="">
      <xdr:nvGraphicFramePr>
        <xdr:cNvPr id="2" name="SalesByRegionHorizontal">
          <a:extLst>
            <a:ext uri="{FF2B5EF4-FFF2-40B4-BE49-F238E27FC236}">
              <a16:creationId xmlns:a16="http://schemas.microsoft.com/office/drawing/2014/main" id="{C9CB5CC7-F1D5-91D1-B499-AF2FE1121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541020</xdr:colOff>
      <xdr:row>8</xdr:row>
      <xdr:rowOff>30480</xdr:rowOff>
    </xdr:from>
    <xdr:to>
      <xdr:col>18</xdr:col>
      <xdr:colOff>541020</xdr:colOff>
      <xdr:row>23</xdr:row>
      <xdr:rowOff>30480</xdr:rowOff>
    </xdr:to>
    <xdr:graphicFrame macro="">
      <xdr:nvGraphicFramePr>
        <xdr:cNvPr id="3" name="ProfitByCategoryVertical">
          <a:extLst>
            <a:ext uri="{FF2B5EF4-FFF2-40B4-BE49-F238E27FC236}">
              <a16:creationId xmlns:a16="http://schemas.microsoft.com/office/drawing/2014/main" id="{35A94C2A-3E68-D698-B3E9-56E411E34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ika sharma" refreshedDate="46186.35328275463" createdVersion="8" refreshedVersion="8" minRefreshableVersion="3" recordCount="30" xr:uid="{2D3FBAE2-BE15-4AC7-B86C-96269CE7E915}">
  <cacheSource type="worksheet">
    <worksheetSource ref="A3:I33" sheet="pivot"/>
  </cacheSource>
  <cacheFields count="9">
    <cacheField name="Region" numFmtId="0">
      <sharedItems count="5">
        <s v="North"/>
        <s v="South"/>
        <s v="East"/>
        <s v="West"/>
        <s v="Central"/>
      </sharedItems>
    </cacheField>
    <cacheField name="Product Category" numFmtId="0">
      <sharedItems count="9">
        <s v="Electronics"/>
        <s v="Home Appliances"/>
        <s v="Furniture"/>
        <s v="Fashion"/>
        <s v="Groceries"/>
        <s v="Beauty"/>
        <s v="Sports"/>
        <s v="Toys"/>
        <s v="Stationery"/>
      </sharedItems>
    </cacheField>
    <cacheField name="ProductName" numFmtId="0">
      <sharedItems/>
    </cacheField>
    <cacheField name="Qty Sold" numFmtId="1">
      <sharedItems containsSemiMixedTypes="0" containsString="0" containsNumber="1" containsInteger="1" minValue="9" maxValue="95"/>
    </cacheField>
    <cacheField name="Unit Price(USD)" numFmtId="166">
      <sharedItems containsSemiMixedTypes="0" containsString="0" containsNumber="1" minValue="4.8" maxValue="210"/>
    </cacheField>
    <cacheField name="TTL Sales(USD)" numFmtId="166">
      <sharedItems containsSemiMixedTypes="0" containsString="0" containsNumber="1" minValue="456" maxValue="3973.75"/>
    </cacheField>
    <cacheField name="Sales Rep" numFmtId="0">
      <sharedItems/>
    </cacheField>
    <cacheField name="Payment Method" numFmtId="0">
      <sharedItems/>
    </cacheField>
    <cacheField name="Customer Type" numFmtId="0">
      <sharedItems count="4">
        <s v="Retail"/>
        <s v="Wholesale"/>
        <s v="Distributor"/>
        <s v="Corpor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ika sharma" refreshedDate="46318.068096875002" createdVersion="8" refreshedVersion="8" minRefreshableVersion="3" recordCount="10" xr:uid="{BE90CA3A-0FED-4D51-A4E7-18F8A99D558C}">
  <cacheSource type="worksheet">
    <worksheetSource ref="A20:N30" sheet=" pivot2"/>
  </cacheSource>
  <cacheFields count="14">
    <cacheField name="Order_ID" numFmtId="0">
      <sharedItems containsSemiMixedTypes="0" containsString="0" containsNumber="1" containsInteger="1" minValue="1001" maxValue="1010"/>
    </cacheField>
    <cacheField name="Order_Date" numFmtId="0">
      <sharedItems containsSemiMixedTypes="0" containsString="0" containsNumber="1" containsInteger="1" minValue="45658" maxValue="45661"/>
    </cacheField>
    <cacheField name="Customer_Name" numFmtId="0">
      <sharedItems/>
    </cacheField>
    <cacheField name="City" numFmtId="0">
      <sharedItems/>
    </cacheField>
    <cacheField name="Region" numFmtId="0">
      <sharedItems count="3">
        <s v="South"/>
        <s v="North"/>
        <s v="West"/>
      </sharedItems>
    </cacheField>
    <cacheField name="Product_Category" numFmtId="0">
      <sharedItems count="3">
        <s v="Electronics"/>
        <s v="Furniture"/>
        <s v="Clothing"/>
      </sharedItems>
    </cacheField>
    <cacheField name="Product_Name" numFmtId="0">
      <sharedItems/>
    </cacheField>
    <cacheField name="Sales_Rep" numFmtId="0">
      <sharedItems/>
    </cacheField>
    <cacheField name="Units_Sold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994" maxValue="41396"/>
    </cacheField>
    <cacheField name="Total_Sales" numFmtId="0">
      <sharedItems containsSemiMixedTypes="0" containsString="0" containsNumber="1" minValue="18542.7" maxValue="206980"/>
    </cacheField>
    <cacheField name="Payment_Method" numFmtId="0">
      <sharedItems/>
    </cacheField>
    <cacheField name="Discount_%" numFmtId="0">
      <sharedItems containsSemiMixedTypes="0" containsString="0" containsNumber="1" containsInteger="1" minValue="0" maxValue="15"/>
    </cacheField>
    <cacheField name="Profit" numFmtId="0">
      <sharedItems containsSemiMixedTypes="0" containsString="0" containsNumber="1" minValue="3595.24" maxValue="34168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s v="Bluetooth Speaker"/>
    <n v="42"/>
    <n v="49.99"/>
    <n v="2099.58"/>
    <s v="Ava Smith"/>
    <s v="Credit Card"/>
    <x v="0"/>
  </r>
  <r>
    <x v="1"/>
    <x v="1"/>
    <s v="Air Fryer"/>
    <n v="18"/>
    <n v="89.5"/>
    <n v="1611"/>
    <s v="Liam Johnson"/>
    <s v="UPI"/>
    <x v="1"/>
  </r>
  <r>
    <x v="2"/>
    <x v="2"/>
    <s v="Office Chair"/>
    <n v="12"/>
    <n v="135"/>
    <n v="1620"/>
    <s v="Noah Brown"/>
    <s v="Bank Transfer"/>
    <x v="0"/>
  </r>
  <r>
    <x v="3"/>
    <x v="3"/>
    <s v="Running Shoes"/>
    <n v="55"/>
    <n v="72.25"/>
    <n v="3973.75"/>
    <s v="Emma Davis"/>
    <s v="Cash"/>
    <x v="0"/>
  </r>
  <r>
    <x v="4"/>
    <x v="4"/>
    <s v="Organic Rice Pack"/>
    <n v="80"/>
    <n v="24.75"/>
    <n v="1980"/>
    <s v="Olivia Wilson"/>
    <s v="Debit Card"/>
    <x v="2"/>
  </r>
  <r>
    <x v="0"/>
    <x v="0"/>
    <s v="Wireless Mouse"/>
    <n v="65"/>
    <n v="19.989999999999998"/>
    <n v="1299.3499999999999"/>
    <s v="Ava Smith"/>
    <s v="Credit Card"/>
    <x v="0"/>
  </r>
  <r>
    <x v="1"/>
    <x v="5"/>
    <s v="Skin Care Kit"/>
    <n v="30"/>
    <n v="58"/>
    <n v="1740"/>
    <s v="Sophia Miller"/>
    <s v="UPI"/>
    <x v="0"/>
  </r>
  <r>
    <x v="2"/>
    <x v="6"/>
    <s v="Yoga Mat"/>
    <n v="27"/>
    <n v="31.5"/>
    <n v="850.5"/>
    <s v="Mason Taylor"/>
    <s v="Credit Card"/>
    <x v="3"/>
  </r>
  <r>
    <x v="3"/>
    <x v="7"/>
    <s v="Building Blocks Set"/>
    <n v="40"/>
    <n v="26.75"/>
    <n v="1070"/>
    <s v="Isabella Anderson"/>
    <s v="Cash"/>
    <x v="0"/>
  </r>
  <r>
    <x v="4"/>
    <x v="8"/>
    <s v="Premium Notebook"/>
    <n v="90"/>
    <n v="6.5"/>
    <n v="585"/>
    <s v="James Thomas"/>
    <s v="Debit Card"/>
    <x v="1"/>
  </r>
  <r>
    <x v="0"/>
    <x v="0"/>
    <s v="Smart Watch"/>
    <n v="22"/>
    <n v="149.99"/>
    <n v="3299.78"/>
    <s v="Mia Jackson"/>
    <s v="Credit Card"/>
    <x v="0"/>
  </r>
  <r>
    <x v="1"/>
    <x v="1"/>
    <s v="Vacuum Cleaner"/>
    <n v="14"/>
    <n v="129"/>
    <n v="1806"/>
    <s v="Liam Johnson"/>
    <s v="Bank Transfer"/>
    <x v="3"/>
  </r>
  <r>
    <x v="2"/>
    <x v="2"/>
    <s v="Study Desk"/>
    <n v="10"/>
    <n v="210"/>
    <n v="2100"/>
    <s v="Noah Brown"/>
    <s v="UPI"/>
    <x v="0"/>
  </r>
  <r>
    <x v="3"/>
    <x v="3"/>
    <s v="Leather Handbag"/>
    <n v="25"/>
    <n v="95"/>
    <n v="2375"/>
    <s v="Emma Davis"/>
    <s v="Credit Card"/>
    <x v="0"/>
  </r>
  <r>
    <x v="4"/>
    <x v="4"/>
    <s v="Olive Oil Bottle"/>
    <n v="60"/>
    <n v="14.25"/>
    <n v="855"/>
    <s v="Olivia Wilson"/>
    <s v="Cash"/>
    <x v="2"/>
  </r>
  <r>
    <x v="0"/>
    <x v="5"/>
    <s v="Hair Dryer"/>
    <n v="16"/>
    <n v="44.5"/>
    <n v="712"/>
    <s v="Sophia Miller"/>
    <s v="Debit Card"/>
    <x v="0"/>
  </r>
  <r>
    <x v="1"/>
    <x v="6"/>
    <s v="Dumbbell Set"/>
    <n v="13"/>
    <n v="78"/>
    <n v="1014"/>
    <s v="Mason Taylor"/>
    <s v="UPI"/>
    <x v="3"/>
  </r>
  <r>
    <x v="2"/>
    <x v="7"/>
    <s v="Remote Car"/>
    <n v="33"/>
    <n v="39.99"/>
    <n v="1319.67"/>
    <s v="Isabella Anderson"/>
    <s v="Credit Card"/>
    <x v="0"/>
  </r>
  <r>
    <x v="3"/>
    <x v="8"/>
    <s v="Desk Organizer"/>
    <n v="48"/>
    <n v="12.75"/>
    <n v="612"/>
    <s v="James Thomas"/>
    <s v="Cash"/>
    <x v="1"/>
  </r>
  <r>
    <x v="4"/>
    <x v="0"/>
    <s v="USB-C Charger"/>
    <n v="70"/>
    <n v="18.5"/>
    <n v="1295"/>
    <s v="Mia Jackson"/>
    <s v="Credit Card"/>
    <x v="0"/>
  </r>
  <r>
    <x v="0"/>
    <x v="1"/>
    <s v="Electric Kettle"/>
    <n v="28"/>
    <n v="34.99"/>
    <n v="979.72"/>
    <s v="Ava Smith"/>
    <s v="UPI"/>
    <x v="0"/>
  </r>
  <r>
    <x v="1"/>
    <x v="2"/>
    <s v="Bookshelf"/>
    <n v="9"/>
    <n v="175"/>
    <n v="1575"/>
    <s v="Noah Brown"/>
    <s v="Bank Transfer"/>
    <x v="3"/>
  </r>
  <r>
    <x v="2"/>
    <x v="3"/>
    <s v="Denim Jacket"/>
    <n v="21"/>
    <n v="68.400000000000006"/>
    <n v="1436.4"/>
    <s v="Emma Davis"/>
    <s v="Debit Card"/>
    <x v="0"/>
  </r>
  <r>
    <x v="3"/>
    <x v="4"/>
    <s v="Coffee Beans"/>
    <n v="75"/>
    <n v="16.8"/>
    <n v="1260"/>
    <s v="Olivia Wilson"/>
    <s v="Cash"/>
    <x v="2"/>
  </r>
  <r>
    <x v="4"/>
    <x v="5"/>
    <s v="Perfume Set"/>
    <n v="19"/>
    <n v="82.5"/>
    <n v="1567.5"/>
    <s v="Sophia Miller"/>
    <s v="Credit Card"/>
    <x v="0"/>
  </r>
  <r>
    <x v="0"/>
    <x v="6"/>
    <s v="Cricket Bat"/>
    <n v="11"/>
    <n v="120"/>
    <n v="1320"/>
    <s v="Mason Taylor"/>
    <s v="UPI"/>
    <x v="0"/>
  </r>
  <r>
    <x v="1"/>
    <x v="7"/>
    <s v="Puzzle Game"/>
    <n v="36"/>
    <n v="15.25"/>
    <n v="549"/>
    <s v="Isabella Anderson"/>
    <s v="Credit Card"/>
    <x v="1"/>
  </r>
  <r>
    <x v="2"/>
    <x v="8"/>
    <s v="Marker Pack"/>
    <n v="95"/>
    <n v="4.8"/>
    <n v="456"/>
    <s v="James Thomas"/>
    <s v="Cash"/>
    <x v="0"/>
  </r>
  <r>
    <x v="3"/>
    <x v="0"/>
    <s v="Tablet Stand"/>
    <n v="31"/>
    <n v="22.9"/>
    <n v="709.9"/>
    <s v="Mia Jackson"/>
    <s v="Debit Card"/>
    <x v="3"/>
  </r>
  <r>
    <x v="4"/>
    <x v="1"/>
    <s v="Sandwich Maker"/>
    <n v="20"/>
    <n v="41.75"/>
    <n v="835"/>
    <s v="Liam Johnson"/>
    <s v="UPI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n v="45658"/>
    <s v="Neha Patil"/>
    <s v="Hyderabad"/>
    <x v="0"/>
    <x v="0"/>
    <s v="Headphones"/>
    <s v="Sneha"/>
    <n v="4"/>
    <n v="20401"/>
    <n v="73443.600000000006"/>
    <s v="Credit Card"/>
    <n v="10"/>
    <n v="21019.15"/>
  </r>
  <r>
    <n v="1002"/>
    <n v="45658"/>
    <s v="Amit Shah"/>
    <s v="Delhi"/>
    <x v="1"/>
    <x v="0"/>
    <s v="Headphones"/>
    <s v="Ajay"/>
    <n v="4"/>
    <n v="17480"/>
    <n v="66424"/>
    <s v="Cash"/>
    <n v="5"/>
    <n v="15368.62"/>
  </r>
  <r>
    <n v="1003"/>
    <n v="45658"/>
    <s v="Karan Verma"/>
    <s v="Hyderabad"/>
    <x v="0"/>
    <x v="1"/>
    <s v="Sofa"/>
    <s v="Rahul"/>
    <n v="1"/>
    <n v="20603"/>
    <n v="18542.7"/>
    <s v="Debit Card"/>
    <n v="10"/>
    <n v="3595.24"/>
  </r>
  <r>
    <n v="1004"/>
    <n v="45659"/>
    <s v="Priya Sharma"/>
    <s v="Hyderabad"/>
    <x v="0"/>
    <x v="2"/>
    <s v="T-Shirt"/>
    <s v="Rahul"/>
    <n v="2"/>
    <n v="35787"/>
    <n v="71574"/>
    <s v="Debit Card"/>
    <n v="0"/>
    <n v="10999.85"/>
  </r>
  <r>
    <n v="1005"/>
    <n v="45659"/>
    <s v="Amit Shah"/>
    <s v="Mumbai"/>
    <x v="2"/>
    <x v="1"/>
    <s v="Sofa"/>
    <s v="Pooja"/>
    <n v="5"/>
    <n v="41396"/>
    <n v="206980"/>
    <s v="Cash"/>
    <n v="0"/>
    <n v="34168.81"/>
  </r>
  <r>
    <n v="1006"/>
    <n v="45660"/>
    <s v="Priya Sharma"/>
    <s v="Hyderabad"/>
    <x v="0"/>
    <x v="1"/>
    <s v="Chair"/>
    <s v="Ajay"/>
    <n v="5"/>
    <n v="31592"/>
    <n v="157960"/>
    <s v="Debit Card"/>
    <n v="0"/>
    <n v="21390.53"/>
  </r>
  <r>
    <n v="1007"/>
    <n v="45660"/>
    <s v="Neha Patil"/>
    <s v="Pune"/>
    <x v="2"/>
    <x v="0"/>
    <s v="Headphones"/>
    <s v="Rahul"/>
    <n v="3"/>
    <n v="37915"/>
    <n v="113745"/>
    <s v="Cash"/>
    <n v="0"/>
    <n v="30022.959999999999"/>
  </r>
  <r>
    <n v="1008"/>
    <n v="45661"/>
    <s v="Rohit Mehta"/>
    <s v="Mumbai"/>
    <x v="2"/>
    <x v="0"/>
    <s v="Headphones"/>
    <s v="Rahul"/>
    <n v="1"/>
    <n v="38859"/>
    <n v="36916.050000000003"/>
    <s v="UPI"/>
    <n v="5"/>
    <n v="6036.85"/>
  </r>
  <r>
    <n v="1009"/>
    <n v="45661"/>
    <s v="Karan Verma"/>
    <s v="Mumbai"/>
    <x v="2"/>
    <x v="2"/>
    <s v="Jeans"/>
    <s v="Sneha"/>
    <n v="3"/>
    <n v="26304"/>
    <n v="71020.800000000003"/>
    <s v="UPI"/>
    <n v="10"/>
    <n v="8473.11"/>
  </r>
  <r>
    <n v="1010"/>
    <n v="45661"/>
    <s v="Amit Shah"/>
    <s v="Mumbai"/>
    <x v="2"/>
    <x v="2"/>
    <s v="Jacket"/>
    <s v="Rahul"/>
    <n v="5"/>
    <n v="15994"/>
    <n v="67974.5"/>
    <s v="Debit Card"/>
    <n v="15"/>
    <n v="12850.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6A813-67B3-4D2B-A70E-65593A963A45}" name="DashboardSalesPivot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K3:M33" firstHeaderRow="0" firstDataRow="1" firstDataCol="1" rowPageCount="1" colPageCount="1"/>
  <pivotFields count="9">
    <pivotField axis="axisRow" showAll="0">
      <items count="6">
        <item x="4"/>
        <item x="2"/>
        <item x="0"/>
        <item x="1"/>
        <item x="3"/>
        <item t="default"/>
      </items>
    </pivotField>
    <pivotField axis="axisRow" showAll="0">
      <items count="10">
        <item x="5"/>
        <item x="0"/>
        <item x="3"/>
        <item x="2"/>
        <item x="4"/>
        <item x="1"/>
        <item x="6"/>
        <item x="8"/>
        <item x="7"/>
        <item t="default"/>
      </items>
    </pivotField>
    <pivotField showAll="0"/>
    <pivotField dataField="1" numFmtId="1" showAll="0"/>
    <pivotField numFmtId="166" showAll="0"/>
    <pivotField dataField="1" numFmtId="166" showAll="0"/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</pivotFields>
  <rowFields count="2">
    <field x="0"/>
    <field x="1"/>
  </rowFields>
  <rowItems count="30">
    <i>
      <x/>
    </i>
    <i r="1">
      <x/>
    </i>
    <i r="1">
      <x v="1"/>
    </i>
    <i r="1">
      <x v="4"/>
    </i>
    <i r="1">
      <x v="5"/>
    </i>
    <i r="1">
      <x v="7"/>
    </i>
    <i>
      <x v="1"/>
    </i>
    <i r="1">
      <x v="2"/>
    </i>
    <i r="1">
      <x v="3"/>
    </i>
    <i r="1">
      <x v="6"/>
    </i>
    <i r="1">
      <x v="7"/>
    </i>
    <i r="1">
      <x v="8"/>
    </i>
    <i>
      <x v="2"/>
    </i>
    <i r="1">
      <x/>
    </i>
    <i r="1">
      <x v="1"/>
    </i>
    <i r="1">
      <x v="5"/>
    </i>
    <i r="1">
      <x v="6"/>
    </i>
    <i>
      <x v="3"/>
    </i>
    <i r="1">
      <x/>
    </i>
    <i r="1">
      <x v="3"/>
    </i>
    <i r="1">
      <x v="5"/>
    </i>
    <i r="1">
      <x v="6"/>
    </i>
    <i r="1">
      <x v="8"/>
    </i>
    <i>
      <x v="4"/>
    </i>
    <i r="1">
      <x v="1"/>
    </i>
    <i r="1">
      <x v="2"/>
    </i>
    <i r="1">
      <x v="4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Sum of Qty Sold" fld="3" baseField="0" baseItem="0" numFmtId="1"/>
    <dataField name="Sum of TTL Sales" fld="5" baseField="0" baseItem="0" numFmtId="166"/>
  </dataFields>
  <formats count="4">
    <format dxfId="175">
      <pivotArea collapsedLevelsAreSubtotals="1" fieldPosition="0">
        <references count="1">
          <reference field="0" count="1">
            <x v="0"/>
          </reference>
        </references>
      </pivotArea>
    </format>
    <format dxfId="174">
      <pivotArea field="0" type="button" dataOnly="0" labelOnly="1" outline="0" axis="axisRow" fieldPosition="0"/>
    </format>
    <format dxfId="173">
      <pivotArea dataOnly="0" labelOnly="1" fieldPosition="0">
        <references count="1">
          <reference field="0" count="1">
            <x v="0"/>
          </reference>
        </references>
      </pivotArea>
    </format>
    <format dxfId="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4F470-E282-4454-9DC7-03BD0C852E4F}" name="SalesPivot" cacheId="1" applyNumberFormats="0" applyBorderFormats="0" applyFontFormats="0" applyPatternFormats="0" applyAlignmentFormats="0" applyWidthHeightFormats="1" dataCaption="Values" grandTotalCaption="Ttl" updatedVersion="8" minRefreshableVersion="3" useAutoFormatting="1" itemPrintTitles="1" createdVersion="8" indent="0" compact="0" compactData="0" multipleFieldFilters="0">
  <location ref="A1:I7" firstHeaderRow="1" firstDataRow="3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name="Product Category"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Total Sales" fld="10" baseField="0" baseItem="0" numFmtId="4"/>
    <dataField name="Profit" fld="13" baseField="0" baseItem="0" numFmtId="4"/>
  </dataFields>
  <formats count="12">
    <format dxfId="65">
      <pivotArea type="origin" dataOnly="0" labelOnly="1" outline="0" offset="A1" fieldPosition="0"/>
    </format>
    <format dxfId="64">
      <pivotArea field="5" type="button" dataOnly="0" labelOnly="1" outline="0" axis="axisCol" fieldPosition="0"/>
    </format>
    <format dxfId="63">
      <pivotArea field="-2" type="button" dataOnly="0" labelOnly="1" outline="0" axis="axisCol" fieldPosition="1"/>
    </format>
    <format dxfId="62">
      <pivotArea type="topRight" dataOnly="0" labelOnly="1" outline="0" offset="A1:E1" fieldPosition="0"/>
    </format>
    <format dxfId="61">
      <pivotArea type="origin" dataOnly="0" labelOnly="1" outline="0" fieldPosition="0"/>
    </format>
    <format dxfId="60">
      <pivotArea field="5" type="button" dataOnly="0" labelOnly="1" outline="0" axis="axisCol" fieldPosition="0"/>
    </format>
    <format dxfId="59">
      <pivotArea field="-2" type="button" dataOnly="0" labelOnly="1" outline="0" axis="axisCol" fieldPosition="1"/>
    </format>
    <format dxfId="58">
      <pivotArea type="topRight" dataOnly="0" labelOnly="1" outline="0" fieldPosition="0"/>
    </format>
    <format dxfId="57">
      <pivotArea type="origin" dataOnly="0" labelOnly="1" outline="0" fieldPosition="0"/>
    </format>
    <format dxfId="56">
      <pivotArea field="5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5A3DB-8164-47BC-ACC3-A5519A628B4D}" name="Table1" displayName="Table1" ref="A1:I10" totalsRowShown="0">
  <autoFilter ref="A1:I10" xr:uid="{0BE5A3DB-8164-47BC-ACC3-A5519A628B4D}"/>
  <sortState xmlns:xlrd2="http://schemas.microsoft.com/office/spreadsheetml/2017/richdata2" ref="A2:I10">
    <sortCondition sortBy="fontColor" ref="C1:C10" dxfId="200"/>
  </sortState>
  <tableColumns count="9">
    <tableColumn id="1" xr3:uid="{60787C3D-55F4-485E-8597-E2608F766B0D}" name="Name"/>
    <tableColumn id="2" xr3:uid="{33C94332-587F-4CDF-9664-8CB7592F409A}" name="Accounts"/>
    <tableColumn id="3" xr3:uid="{3FFB9E07-AA3D-4DB8-B243-D9A52AEE00B6}" name="Economics"/>
    <tableColumn id="4" xr3:uid="{4B49DE35-1DDF-4666-A6BE-411F2E2B104B}" name="Mathematics"/>
    <tableColumn id="5" xr3:uid="{3704809D-277C-4C09-91B1-47C730FFED34}" name="Computer Sci"/>
    <tableColumn id="6" xr3:uid="{AFA59B33-71A3-4916-B2B9-8DEDED6EE87E}" name="English"/>
    <tableColumn id="7" xr3:uid="{799A8843-A021-4532-B872-0A5ADF01E01F}" name="Business studies"/>
    <tableColumn id="8" xr3:uid="{EBF3B8FE-A086-4BCE-B3AD-1551616BADF3}" name="Total" dataDxfId="199">
      <calculatedColumnFormula>SUM(B2:F2)</calculatedColumnFormula>
    </tableColumn>
    <tableColumn id="9" xr3:uid="{DF7868BF-A343-4E6A-BF6A-2BABBE364F56}" name="Averag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AF6F6-C6AC-40D8-9650-4750B0BD9252}" name="Table2" displayName="Table2" ref="A1:I10" totalsRowShown="0" dataDxfId="198" tableBorderDxfId="197">
  <autoFilter ref="A1:I10" xr:uid="{303AF6F6-C6AC-40D8-9650-4750B0BD9252}"/>
  <tableColumns count="9">
    <tableColumn id="1" xr3:uid="{3F6C404A-5D7C-4C42-A659-1634CE9AFEA6}" name="NAME" dataDxfId="196"/>
    <tableColumn id="2" xr3:uid="{CB2D6DB2-E2F5-495F-9571-5B4A426389E9}" name="ACC" dataDxfId="195"/>
    <tableColumn id="3" xr3:uid="{1928E347-00E4-453E-879D-83DDEE44CE77}" name="ECO" dataDxfId="194"/>
    <tableColumn id="4" xr3:uid="{DE96B177-FFD3-4FE4-A6CD-5E1B6A195149}" name="MATHS" dataDxfId="193"/>
    <tableColumn id="5" xr3:uid="{EF32A2DC-55D7-49E9-AC69-384BE27B6AB1}" name="ENG" dataDxfId="192"/>
    <tableColumn id="6" xr3:uid="{FA9C8B85-E900-497F-92F5-B60810BCBDBB}" name="BST" dataDxfId="191"/>
    <tableColumn id="7" xr3:uid="{412F16B7-E6A1-48B6-A518-6FA9D1E74573}" name="CS" dataDxfId="190"/>
    <tableColumn id="8" xr3:uid="{8A011E94-3343-4423-87EF-7FE27B3E2385}" name="TOTAL" dataDxfId="189"/>
    <tableColumn id="9" xr3:uid="{04EDB80E-C0FF-419D-B8DF-2E8A42C2F6E6}" name="AVERAGE" dataDxfId="18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26309A-DF2E-4289-B548-62F814EAABBA}" name="Table3" displayName="Table3" ref="A4:I43" totalsRowShown="0" headerRowDxfId="187" dataDxfId="186">
  <autoFilter ref="A4:I43" xr:uid="{0826309A-DF2E-4289-B548-62F814EAABBA}"/>
  <tableColumns count="9">
    <tableColumn id="1" xr3:uid="{9EAE3E42-50F4-421A-865D-E1F1B87CD020}" name="DATE" dataDxfId="185"/>
    <tableColumn id="2" xr3:uid="{15CA2807-00B1-4D55-9133-0C035D9CDC49}" name="SALES MAN" dataDxfId="184"/>
    <tableColumn id="3" xr3:uid="{607B30AF-EEF5-4F10-B748-12571F409FA0}" name="ITEM NAME" dataDxfId="183"/>
    <tableColumn id="4" xr3:uid="{AB9A5C7B-B958-48B3-89CB-31F36CFBC436}" name="COMPANY" dataDxfId="182"/>
    <tableColumn id="5" xr3:uid="{DCFF6215-DD9D-4273-87CA-160F937FC4A7}" name="QTY" dataDxfId="181"/>
    <tableColumn id="6" xr3:uid="{CC45717C-91D3-4309-A710-C03016A018BB}" name="RATE" dataDxfId="180"/>
    <tableColumn id="7" xr3:uid="{9308D2C7-27DE-44E2-BB40-C23628D60E61}" name="AMOUNT" dataDxfId="179">
      <calculatedColumnFormula>SUM(E5,F5)</calculatedColumnFormula>
    </tableColumn>
    <tableColumn id="8" xr3:uid="{6E1D297F-A6BE-4F31-8B7D-127457324694}" name="Column1" dataDxfId="178">
      <calculatedColumnFormula>SUBTOTAL(109,Table3[[#This Row],[QTY]:[AMOUNT]])</calculatedColumnFormula>
    </tableColumn>
    <tableColumn id="9" xr3:uid="{9492843D-4EF6-4C77-8F9E-EFA12C830FE6}" name="Column2" dataDxfId="177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D0F5FB-CBC1-4DFE-8EBD-89BC53B9BDCB}" name="Table4" displayName="Table4" ref="A2:K22" totalsRowShown="0">
  <autoFilter ref="A2:K22" xr:uid="{A4D0F5FB-CBC1-4DFE-8EBD-89BC53B9BDCB}"/>
  <tableColumns count="11">
    <tableColumn id="1" xr3:uid="{98284F6B-CD98-4AD1-88FB-85C1681C433D}" name="EMP CODE"/>
    <tableColumn id="2" xr3:uid="{56221E5D-51B6-4A14-BD5F-8E793D5BFB02}" name="NAME"/>
    <tableColumn id="3" xr3:uid="{7FEE454C-9591-40B2-B003-DEA214F683F1}" name="DEPT"/>
    <tableColumn id="4" xr3:uid="{79DE09DB-C670-4B8B-8F0E-4A99925A00A9}" name="REGION"/>
    <tableColumn id="5" xr3:uid="{95F61639-06BC-4CAE-BC9D-CDA00C781765}" name="SALES_1"/>
    <tableColumn id="6" xr3:uid="{DDDFE723-0770-4C31-83B0-14CAF79B530B}" name="SALES_2"/>
    <tableColumn id="7" xr3:uid="{F812F76F-BDAB-4B33-82CD-EFE9CC276A78}" name="SALES_3"/>
    <tableColumn id="8" xr3:uid="{C6049A04-7176-4337-AB4C-CE133ABD109C}" name="SALES_4"/>
    <tableColumn id="9" xr3:uid="{ABF716BC-2C01-4995-B8F6-4CC76A7DBE9A}" name="TARGET"/>
    <tableColumn id="10" xr3:uid="{86CC85C5-AC71-4D67-85AE-2363DDA1BA91}" name="SALARY"/>
    <tableColumn id="11" xr3:uid="{CCAF4F01-A485-4ADA-A79E-83C3D44E284B}" name="BONUS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DD2A6F-AD5F-45B2-BCC7-B39FFA781677}" name="Table5" displayName="Table5" ref="A1:G31" totalsRowShown="0">
  <autoFilter ref="A1:G31" xr:uid="{3BDD2A6F-AD5F-45B2-BCC7-B39FFA781677}"/>
  <tableColumns count="7">
    <tableColumn id="1" xr3:uid="{02EDDBDE-0E8A-4099-9D3B-5641F610B711}" name="EmpID"/>
    <tableColumn id="2" xr3:uid="{D0A38CBB-A90E-4783-84C1-590FB146816E}" name="Name"/>
    <tableColumn id="3" xr3:uid="{579E17C3-C702-4C0C-AB50-5877C6CF5781}" name="Department"/>
    <tableColumn id="4" xr3:uid="{95529BCD-367D-452A-9282-4B68A7A65859}" name="Salary"/>
    <tableColumn id="5" xr3:uid="{3C3BC341-B9D0-49DB-9270-608664FE9F39}" name="Age"/>
    <tableColumn id="6" xr3:uid="{03A345E5-AFC4-4DA0-A9E3-29458EC1F868}" name="City"/>
    <tableColumn id="7" xr3:uid="{BDB21033-2095-43AD-9162-FDFF7E1D1F45}" name="EMP CODE" dataDxfId="1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1FB083-5E20-415F-B662-F8843313B988}" name="DashboardSalesTable" displayName="DashboardSalesTable" ref="A3:I33" totalsRowShown="0" headerRowDxfId="171">
  <autoFilter ref="A3:I33" xr:uid="{271FB083-5E20-415F-B662-F8843313B988}"/>
  <tableColumns count="9">
    <tableColumn id="1" xr3:uid="{249BF766-B2A0-47F7-AF80-73151283D4DA}" name="Region" dataDxfId="170"/>
    <tableColumn id="2" xr3:uid="{4E18C906-A509-4040-9933-F4065DCE49EC}" name="Product Category" dataDxfId="169"/>
    <tableColumn id="3" xr3:uid="{D6A9AE9A-BC70-4ED2-AD26-6CCFE89D4CB1}" name="ProductName" dataDxfId="168"/>
    <tableColumn id="4" xr3:uid="{96B74052-70B5-47A1-90CD-C7C52F0FF720}" name="Qty Sold" dataDxfId="167"/>
    <tableColumn id="5" xr3:uid="{21682872-28B1-4080-9F09-B41413D13980}" name="Unit Price" dataDxfId="166"/>
    <tableColumn id="6" xr3:uid="{0B528C21-0C91-47D8-81FB-A21A4E93E1EF}" name="TTL Sales(USD)" dataDxfId="165"/>
    <tableColumn id="7" xr3:uid="{A5180823-266A-4913-BB93-196E793F567B}" name="Sales Rep" dataDxfId="164"/>
    <tableColumn id="8" xr3:uid="{12387C3F-1027-43AA-9801-9F5428497F57}" name="Payment Method" dataDxfId="163"/>
    <tableColumn id="9" xr3:uid="{3F7C2C89-C2F5-4F2E-B07C-D03FE26E2B2A}" name="Customer Type" dataDxfId="16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145BC5-1438-4C25-8503-F889B227299D}" name="RegionTable_East" displayName="RegionTable_East" ref="O3:W9" totalsRowShown="0">
  <autoFilter ref="O3:W9" xr:uid="{02145BC5-1438-4C25-8503-F889B227299D}"/>
  <tableColumns count="9">
    <tableColumn id="1" xr3:uid="{87AAD24E-FE63-43E1-80DC-39304F7776A7}" name="Region"/>
    <tableColumn id="2" xr3:uid="{17D8605F-E2AA-4353-9CD5-FC87356E7726}" name="Product Category"/>
    <tableColumn id="3" xr3:uid="{A48E2C6B-BA65-4847-886D-4107FA951A51}" name="ProductName"/>
    <tableColumn id="4" xr3:uid="{2E9AC977-AC3B-48A6-B1EE-5D833A1D2E29}" name="Qty Sold" dataDxfId="161"/>
    <tableColumn id="5" xr3:uid="{98805F78-84FF-4ECC-9F0D-EBD19401DF07}" name="Unit Price(USD)" dataDxfId="160"/>
    <tableColumn id="6" xr3:uid="{F6CF0CB7-63F6-4D5C-BBEC-23BB4E2DF7CA}" name="TTL Sales(USD)" dataDxfId="159"/>
    <tableColumn id="7" xr3:uid="{7CD82E69-20B4-4813-AA35-9CA726D0E944}" name="Sales Rep"/>
    <tableColumn id="8" xr3:uid="{AAABA360-0840-47D6-99D7-A1B819E8182D}" name="Payment Method"/>
    <tableColumn id="9" xr3:uid="{34EBF9FD-8633-4F3F-B7F2-D15B4383590B}" name="Customer 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4FBCFEF-7771-4874-BD1C-552AC6255B6D}" name="RegionTable_North" displayName="RegionTable_North" ref="Z3:AH9" totalsRowShown="0">
  <autoFilter ref="Z3:AH9" xr:uid="{B4FBCFEF-7771-4874-BD1C-552AC6255B6D}"/>
  <tableColumns count="9">
    <tableColumn id="1" xr3:uid="{FCFCED9E-B7AD-4AD8-B776-0992D07DA777}" name="Region"/>
    <tableColumn id="2" xr3:uid="{56F86F83-D3C5-49C0-9579-A90CB54AB88A}" name="Product Category"/>
    <tableColumn id="3" xr3:uid="{69C746E6-7126-4A02-A5BB-48137EE5A9A3}" name="ProductName"/>
    <tableColumn id="4" xr3:uid="{CF8DFFE9-00B1-46FB-A3FE-C31C4CD99AF7}" name="Qty Sold" dataDxfId="158"/>
    <tableColumn id="5" xr3:uid="{84139466-6332-480D-8C02-70426FB13A5E}" name="Unit Price" dataDxfId="157"/>
    <tableColumn id="6" xr3:uid="{515E618A-3E18-42F7-97E5-AB4B3A74C717}" name="TTL Sales" dataDxfId="156"/>
    <tableColumn id="7" xr3:uid="{0C79D138-5FE8-472E-B906-2210E1F45696}" name="Sales Rep"/>
    <tableColumn id="8" xr3:uid="{C7A924FF-1A59-4BC8-94DE-7A5C954A43B5}" name="Payment Method"/>
    <tableColumn id="9" xr3:uid="{EB95B99F-4E23-4042-AA5C-83D886D55F51}" name="Customer 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FC85657-CA4C-45C3-AFD0-FBA2A0A54C8A}" name="RegionTable_South" displayName="RegionTable_South" ref="AK3:AS9" totalsRowShown="0">
  <autoFilter ref="AK3:AS9" xr:uid="{9FC85657-CA4C-45C3-AFD0-FBA2A0A54C8A}"/>
  <tableColumns count="9">
    <tableColumn id="1" xr3:uid="{5ACC8F0F-752A-42F3-AAD3-87CD9700082E}" name="Region"/>
    <tableColumn id="2" xr3:uid="{FD5B24E6-9CEC-486D-82EC-6E01F8745D1B}" name="Product Category"/>
    <tableColumn id="3" xr3:uid="{CB96FB6F-B85A-4F8F-909C-B942DE460EB7}" name="ProductName"/>
    <tableColumn id="4" xr3:uid="{3539E04E-6D09-4280-8B60-EB4B6C08D1D2}" name="Qty Sold" dataDxfId="155"/>
    <tableColumn id="5" xr3:uid="{CAB024AB-6D76-458C-A7E5-12871B95C072}" name="Unit Price" dataDxfId="154"/>
    <tableColumn id="6" xr3:uid="{E3D35F3C-4B90-4E8A-9FC7-C55471A0AA7B}" name="TTL Sales" dataDxfId="153"/>
    <tableColumn id="7" xr3:uid="{1DEA9058-B5BE-4A4A-BEFF-105EFE6A1A24}" name="Sales Rep"/>
    <tableColumn id="8" xr3:uid="{8A8A9D28-3BD3-46B6-85CE-252F91764E47}" name="Payment Method"/>
    <tableColumn id="9" xr3:uid="{003DE8BE-B787-4623-A7FC-F87B8F441B0B}" name="Customer Ty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B71FE5-C51C-472E-98BB-FBBD8D313B09}" name="RegionTable_West" displayName="RegionTable_West" ref="AV3:BD9" totalsRowShown="0">
  <autoFilter ref="AV3:BD9" xr:uid="{35B71FE5-C51C-472E-98BB-FBBD8D313B09}"/>
  <tableColumns count="9">
    <tableColumn id="1" xr3:uid="{421E6736-F31C-4F01-AA9E-9110D5C3A502}" name="Region"/>
    <tableColumn id="2" xr3:uid="{4578B285-E2FA-48C9-A9FD-CF3DE79DAFAA}" name="Product Category"/>
    <tableColumn id="3" xr3:uid="{8A7025B1-AA19-4C36-92B4-C1A23D334A1C}" name="ProductName"/>
    <tableColumn id="4" xr3:uid="{39D2D39C-D9AD-4747-8D97-FCBD4255ED2A}" name="Qty Sold" dataDxfId="152"/>
    <tableColumn id="5" xr3:uid="{F43AC914-B714-4D2A-9074-B9D761A57B38}" name="Unit Price" dataDxfId="151"/>
    <tableColumn id="6" xr3:uid="{1A472861-B665-4F54-B00A-CD04B4AFC2C0}" name="TTL Sales" dataDxfId="150"/>
    <tableColumn id="7" xr3:uid="{1513738D-9500-4FB7-BA96-44C47CF32E9A}" name="Sales Rep"/>
    <tableColumn id="8" xr3:uid="{DA5FCAB6-A02D-481F-83DB-17FF4F8DFC23}" name="Payment Method"/>
    <tableColumn id="9" xr3:uid="{76E7C1A6-934B-40FF-8A74-AFBEB2AABAFF}" name="Customer Typ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5EC9CA-949D-4A87-8152-B9D52EB85201}" name="PayrollTable" displayName="PayrollTable" ref="A4:Q22" totalsRowShown="0" headerRowDxfId="149" dataDxfId="147" headerRowBorderDxfId="148" tableBorderDxfId="146" totalsRowBorderDxfId="145">
  <autoFilter ref="A4:Q22" xr:uid="{485EC9CA-949D-4A87-8152-B9D52EB85201}"/>
  <tableColumns count="17">
    <tableColumn id="1" xr3:uid="{F9809C6E-39C8-4B4A-8085-A6E1655ABE84}" name="EMPLOYEE NAME" dataDxfId="144"/>
    <tableColumn id="2" xr3:uid="{607BF790-E543-4758-A0A9-9C88C49831C2}" name="BASIC SALARY" dataDxfId="143"/>
    <tableColumn id="3" xr3:uid="{4C98F82E-FF04-4490-90D2-F6D182A188DF}" name="HRA" dataDxfId="142">
      <calculatedColumnFormula>B5*10%</calculatedColumnFormula>
    </tableColumn>
    <tableColumn id="4" xr3:uid="{BFA4BF3E-1E44-4F4D-86DB-94883CC85250}" name="DA" dataDxfId="141">
      <calculatedColumnFormula>B5*8%</calculatedColumnFormula>
    </tableColumn>
    <tableColumn id="5" xr3:uid="{4D454D38-6BF6-4AE3-9BB4-3B268CDC0455}" name="TA" dataDxfId="140">
      <calculatedColumnFormula>B5*5%</calculatedColumnFormula>
    </tableColumn>
    <tableColumn id="6" xr3:uid="{F9F314BE-4259-4CDE-958F-A730BA79C6F0}" name="PF" dataDxfId="139">
      <calculatedColumnFormula>B5*12%</calculatedColumnFormula>
    </tableColumn>
    <tableColumn id="7" xr3:uid="{D1BE8838-FD09-44D5-A73B-856774590FBB}" name="PER DAY SALARY" dataDxfId="138">
      <calculatedColumnFormula>B5/30</calculatedColumnFormula>
    </tableColumn>
    <tableColumn id="8" xr3:uid="{36577B48-C5C7-44FB-9515-793963F16B06}" name="PER HOUR SALARY" dataDxfId="137">
      <calculatedColumnFormula>B5/12</calculatedColumnFormula>
    </tableColumn>
    <tableColumn id="9" xr3:uid="{005BD264-0901-49EC-A786-92667AFB65D5}" name="TOTAL LEAVE" dataDxfId="136">
      <calculatedColumnFormula>COUNTIF(B32:AF32,"L")</calculatedColumnFormula>
    </tableColumn>
    <tableColumn id="10" xr3:uid="{AB9857F8-C18C-4308-A58E-3BB6002B6942}" name="LEAVE DEDUCT SALARY" dataDxfId="135">
      <calculatedColumnFormula>I5*G5</calculatedColumnFormula>
    </tableColumn>
    <tableColumn id="11" xr3:uid="{9B599C74-FE0A-4B94-AD63-692C8CB9B0B5}" name="HALF DAY" dataDxfId="134">
      <calculatedColumnFormula>COUNTIF(B32:AF32,"H")</calculatedColumnFormula>
    </tableColumn>
    <tableColumn id="12" xr3:uid="{481D87FA-FCE3-4577-9A9B-1ACDE360AD96}" name="HALF DAY SALARY" dataDxfId="133">
      <calculatedColumnFormula>K5*G5/2</calculatedColumnFormula>
    </tableColumn>
    <tableColumn id="13" xr3:uid="{9B9BCFC9-2DBC-42D6-B50F-0877AF5AC83B}" name="OVER TIME" dataDxfId="132">
      <calculatedColumnFormula>COUNTIF(B32:AF32,"OT")</calculatedColumnFormula>
    </tableColumn>
    <tableColumn id="14" xr3:uid="{4D3AC22F-C77F-4D5C-87C6-C75C727433EA}" name="OVERTIME SALARY" dataDxfId="131">
      <calculatedColumnFormula>M5*H5</calculatedColumnFormula>
    </tableColumn>
    <tableColumn id="15" xr3:uid="{8A19899B-5689-4851-8253-3FAE5353A57D}" name="GROSS SALARY" dataDxfId="130">
      <calculatedColumnFormula>N5-J5-L5</calculatedColumnFormula>
    </tableColumn>
    <tableColumn id="16" xr3:uid="{1481ED7F-45AF-423E-BC4C-E480F71D1253}" name="INCOME TAX" dataDxfId="129">
      <calculatedColumnFormula>B5*12%</calculatedColumnFormula>
    </tableColumn>
    <tableColumn id="17" xr3:uid="{DFF34540-EAED-4D33-B2FB-A39ABE297FAA}" name="NET SALARY" dataDxfId="128">
      <calculatedColumnFormula>B5-P5</calculatedColumnFormula>
    </tableColumn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959A5D-7F81-4D53-B4BF-4DF7CE97F137}" name="PayrollAttendance" displayName="PayrollAttendance" ref="A31:AI49" totalsRowShown="0" headerRowDxfId="127" dataDxfId="125" headerRowBorderDxfId="126" tableBorderDxfId="124" totalsRowBorderDxfId="123">
  <autoFilter ref="A31:AI49" xr:uid="{AD959A5D-7F81-4D53-B4BF-4DF7CE97F137}"/>
  <tableColumns count="35">
    <tableColumn id="1" xr3:uid="{E4DF23F2-D323-4E04-94D6-A1EDDC44E60B}" name="EMPLOYEE NAME" dataDxfId="122"/>
    <tableColumn id="2" xr3:uid="{2DA5B341-C0C6-4C31-B518-C60DBA973D71}" name="DAY1" dataDxfId="121"/>
    <tableColumn id="3" xr3:uid="{AED39801-1DD2-4625-B3AD-90E698D6DD45}" name="DAY2" dataDxfId="120"/>
    <tableColumn id="4" xr3:uid="{AFD06F77-7010-427A-AEF6-39C1CF0CDA56}" name="DAY3" dataDxfId="119"/>
    <tableColumn id="5" xr3:uid="{9EC16008-FD61-42F9-AAEB-BE7AE947B91C}" name="DAY4" dataDxfId="118"/>
    <tableColumn id="6" xr3:uid="{01AB2330-5AA1-4AFF-9D8E-4B55994F629D}" name="DAY5" dataDxfId="117"/>
    <tableColumn id="7" xr3:uid="{8175CC65-1D25-4A59-B17B-84CCBCA6602D}" name="DAY6" dataDxfId="116"/>
    <tableColumn id="8" xr3:uid="{ECF24964-E710-4420-A264-13B3A044CC1D}" name="DAY7" dataDxfId="115"/>
    <tableColumn id="9" xr3:uid="{7FD9DA9B-C64D-464B-B8EC-E7F072AEE4E9}" name="DAY8" dataDxfId="114"/>
    <tableColumn id="10" xr3:uid="{4AFA148E-7F88-43DB-990F-C02E6572E3C1}" name="DAY9" dataDxfId="113"/>
    <tableColumn id="11" xr3:uid="{32B686C4-D49B-4030-B64B-29E08C409408}" name="DAY10" dataDxfId="112"/>
    <tableColumn id="12" xr3:uid="{B8891101-3F5F-43DC-9989-C36593264CDB}" name="DAY11" dataDxfId="111"/>
    <tableColumn id="13" xr3:uid="{67CB3AB5-1827-4FD5-B3A9-375A184DB197}" name="DAY12" dataDxfId="110"/>
    <tableColumn id="14" xr3:uid="{F1B79975-B8E4-42B5-9B2B-3BE4FCC89409}" name="DAY13" dataDxfId="109"/>
    <tableColumn id="15" xr3:uid="{5A35B69B-1441-4D4E-B375-BAA273610E35}" name="DAY14" dataDxfId="108"/>
    <tableColumn id="16" xr3:uid="{2683344D-130A-487E-99D8-E6D9B8A41672}" name="DAY15" dataDxfId="107"/>
    <tableColumn id="17" xr3:uid="{8C87A182-5D79-4D87-B40F-845DFBAE9DA2}" name="DAY16" dataDxfId="106"/>
    <tableColumn id="18" xr3:uid="{BEAB265E-8131-4045-9CEF-F88A89B34287}" name="DAY17" dataDxfId="105"/>
    <tableColumn id="19" xr3:uid="{84C366F7-E92E-4FA6-B3A2-4901D05CAFBC}" name="DAY18" dataDxfId="104"/>
    <tableColumn id="20" xr3:uid="{D1D637C4-0507-4F66-B9B7-AE74A6AB2337}" name="DAY19" dataDxfId="103"/>
    <tableColumn id="21" xr3:uid="{8FB8BFAB-8034-4974-8390-53F13EDC6B5E}" name="DAY20" dataDxfId="102"/>
    <tableColumn id="22" xr3:uid="{EE41AEEB-A8F7-4500-9645-EFA4B40E114B}" name="DAY21" dataDxfId="101"/>
    <tableColumn id="23" xr3:uid="{5D8D8C48-9AB9-42AF-B3BF-64BA2B5FDB9C}" name="DAY22" dataDxfId="100"/>
    <tableColumn id="24" xr3:uid="{3FCADC84-16CF-45A0-AEDB-7F6E9FA6B695}" name="DAY23" dataDxfId="99"/>
    <tableColumn id="25" xr3:uid="{B3B9A02E-791E-4D3C-8487-B08C4F578E52}" name="DAY24" dataDxfId="98"/>
    <tableColumn id="26" xr3:uid="{C737C2A6-61A4-4B54-A071-24B76C06BE39}" name="DAY25" dataDxfId="97"/>
    <tableColumn id="27" xr3:uid="{FF4132F2-6CDA-4F68-95C5-22ED7FEBDCA9}" name="DAY26" dataDxfId="96"/>
    <tableColumn id="28" xr3:uid="{42E0CCCC-D2B9-44ED-A0AB-404B1F86D2A2}" name="DAY27" dataDxfId="95"/>
    <tableColumn id="29" xr3:uid="{6FA78A3A-6EBA-4F41-B80E-EFC6E8BBCDF8}" name="DAY28" dataDxfId="94"/>
    <tableColumn id="30" xr3:uid="{AE015DA9-D216-4044-8707-BEA61C2064B7}" name="DAY29" dataDxfId="93"/>
    <tableColumn id="31" xr3:uid="{2E26D3A7-BD03-46B6-9080-6F3E9DCCC987}" name="DAY30" dataDxfId="92"/>
    <tableColumn id="32" xr3:uid="{23611256-9FBD-4A43-B5E5-4B82FC0FE60A}" name="DAY31" dataDxfId="91"/>
    <tableColumn id="33" xr3:uid="{562B13C3-DA92-428A-8A6D-EA00063A1274}" name="TOTAL PRESENT" dataDxfId="90">
      <calculatedColumnFormula>COUNTIF(PayrollAttendance[[#This Row],[DAY1]:[DAY31]],"P")</calculatedColumnFormula>
    </tableColumn>
    <tableColumn id="34" xr3:uid="{D800AF76-35E9-4E95-86AB-95CAD01084A2}" name="TOTAL ABSENT" dataDxfId="89">
      <calculatedColumnFormula>COUNTIF(PayrollAttendance[[#This Row],[DAY1]:[DAY31]],"A")</calculatedColumnFormula>
    </tableColumn>
    <tableColumn id="35" xr3:uid="{3545E3F1-412A-4677-A257-AB25351F6019}" name="TOTAL LEAVE" dataDxfId="88">
      <calculatedColumnFormula>COUNTIF(PayrollAttendance[[#This Row],[DAY1]:[DAY31]],"L")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E73703-9304-4DA2-B083-114821C96BAE}" name="Table8" displayName="Table8" ref="A2:B5" totalsRowShown="0">
  <autoFilter ref="A2:B5" xr:uid="{35E73703-9304-4DA2-B083-114821C96BAE}"/>
  <tableColumns count="2">
    <tableColumn id="1" xr3:uid="{9AB28C95-4E77-4C8C-A3ED-95CB181E7ADD}" name="PURCHASE ITEM "/>
    <tableColumn id="2" xr3:uid="{FB60EFB6-E229-4B6D-9E70-225DCA16BC59}" name="AC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26529B-B170-44AB-B304-ABECA45681A4}" name="Table1419" displayName="Table1419" ref="A31:N41" totalsRowShown="0" headerRowDxfId="87" dataDxfId="86">
  <autoFilter ref="A31:N41" xr:uid="{0F26529B-B170-44AB-B304-ABECA45681A4}"/>
  <tableColumns count="14">
    <tableColumn id="1" xr3:uid="{9544049F-B1A5-4B4E-BFD3-0455A1981F6E}" name="Order_ID" dataDxfId="85"/>
    <tableColumn id="2" xr3:uid="{A29484BC-56B1-49C3-8812-C42A7FCC646D}" name="Order_Date" dataDxfId="84"/>
    <tableColumn id="3" xr3:uid="{588D5121-B8CB-474B-9554-84AC0DFE2BB8}" name="Customer_Name" dataDxfId="83"/>
    <tableColumn id="4" xr3:uid="{D3989972-09A8-4C47-B748-20A26CE9C9B1}" name="City" dataDxfId="82"/>
    <tableColumn id="5" xr3:uid="{E3A3FDDD-CB78-4F83-9F46-2B9A3D2967CB}" name="Region" dataDxfId="81"/>
    <tableColumn id="6" xr3:uid="{29E9DCDB-32AC-463F-ACAF-F8B060311930}" name="Product_Category" dataDxfId="80"/>
    <tableColumn id="7" xr3:uid="{261B4AF1-27F8-48EC-95B6-7FE835182A7D}" name="Product_Name" dataDxfId="79"/>
    <tableColumn id="8" xr3:uid="{2014EF5C-36CE-47B3-9844-017817281EDD}" name="Sales_Rep" dataDxfId="78"/>
    <tableColumn id="9" xr3:uid="{5578282C-CB15-4568-BF46-F1E3B43D1FE2}" name="Units_Sold" dataDxfId="77"/>
    <tableColumn id="10" xr3:uid="{7F3EAB1D-C376-43AF-B453-0BCA30BE1B5F}" name="Unit_Price" dataDxfId="76"/>
    <tableColumn id="11" xr3:uid="{5061EDC7-6842-42F4-91EF-FEEB5C8CCB41}" name="Total_Sales" dataDxfId="75"/>
    <tableColumn id="12" xr3:uid="{992193C0-7F0F-4377-A2B2-B1AAF12252D2}" name="Payment_Method" dataDxfId="74"/>
    <tableColumn id="13" xr3:uid="{CD30C5BD-5A30-435C-8BDC-B3BFC5E01AE7}" name="Discount_%" dataDxfId="73"/>
    <tableColumn id="14" xr3:uid="{32B8D95E-B883-4DBD-AE21-F6CB596E086C}" name="Profit" dataDxfId="7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0278011-5872-4AE7-87F6-D952CEA8F1B5}" name="Table14" displayName="Table14" ref="A1:N11" totalsRowShown="0" headerRowDxfId="71">
  <autoFilter ref="A1:N11" xr:uid="{E0278011-5872-4AE7-87F6-D952CEA8F1B5}"/>
  <tableColumns count="14">
    <tableColumn id="1" xr3:uid="{1A911911-5034-42B6-950C-8508D49C1580}" name="Order_ID"/>
    <tableColumn id="2" xr3:uid="{95CC9248-C092-4B33-BB36-8C09F72F89BB}" name="Order_Date" dataDxfId="70"/>
    <tableColumn id="3" xr3:uid="{673B6A15-3DC4-4224-8434-3BE562E51EA3}" name="Customer_Name"/>
    <tableColumn id="4" xr3:uid="{5FCD178D-5842-48CE-A0F2-653EF8C731A4}" name="City"/>
    <tableColumn id="5" xr3:uid="{155BEB53-BB5D-49C9-9247-FDBFEDA7CB5F}" name="Region"/>
    <tableColumn id="6" xr3:uid="{190E7EEA-8164-4193-BF80-49768F5F4ACD}" name="Product_Category"/>
    <tableColumn id="7" xr3:uid="{01971AAB-B943-4487-8229-24F5A2AA059B}" name="Product_Name"/>
    <tableColumn id="8" xr3:uid="{88F09504-455A-4F7F-AC5C-2AB955404CA9}" name="Sales_Rep"/>
    <tableColumn id="9" xr3:uid="{CEB45804-1BA8-498C-8135-485EDD615FD1}" name="Units_Sold"/>
    <tableColumn id="10" xr3:uid="{1934E99A-536B-4F81-9CB7-8E4BA9BB9F94}" name="Unit_Price"/>
    <tableColumn id="11" xr3:uid="{EC509B86-68CB-4850-9C21-88EFAA67A0C0}" name="Total_Sales"/>
    <tableColumn id="12" xr3:uid="{E0CE6C66-7FF5-4698-BB7D-D662AB4C3995}" name="Payment_Method"/>
    <tableColumn id="13" xr3:uid="{69E5E565-65E8-466A-A27B-AAC4042A1B5C}" name="Discount_%"/>
    <tableColumn id="14" xr3:uid="{63F77B9E-DE9A-4516-9780-5295645D35B7}" name="Profi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19054EC-CB8C-4DB0-AD6D-CA51F9E47921}" name="Table17" displayName="Table17" ref="T2:X5" totalsRowShown="0" tableBorderDxfId="69">
  <autoFilter ref="T2:X5" xr:uid="{819054EC-CB8C-4DB0-AD6D-CA51F9E47921}"/>
  <tableColumns count="5">
    <tableColumn id="1" xr3:uid="{0CBB0B26-06C2-4F3B-9968-B8663940E042}" name="Column1"/>
    <tableColumn id="2" xr3:uid="{7377ADBB-5CC5-4F93-B156-09E7E40FD105}" name="Column2" dataDxfId="68"/>
    <tableColumn id="3" xr3:uid="{533C10D3-FC34-4608-83CC-AAC30B8AF7EB}" name="Column3"/>
    <tableColumn id="4" xr3:uid="{FF514B6A-8518-4BD0-BA91-841A3250AE8F}" name="Column4"/>
    <tableColumn id="5" xr3:uid="{15ACDCE8-9406-452C-B293-529598681012}" name="Column5" dataDxfId="6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4EB9F70-436E-466F-9187-770383A3A5A6}" name="FilteredSales" displayName="FilteredSales" ref="A1:N6" totalsRowShown="0" headerRowDxfId="66">
  <autoFilter ref="A1:N6" xr:uid="{54EB9F70-436E-466F-9187-770383A3A5A6}"/>
  <tableColumns count="14">
    <tableColumn id="1" xr3:uid="{146CB490-8945-4699-BD58-08D965D714D7}" name="OrderID"/>
    <tableColumn id="2" xr3:uid="{05259B4E-CBCD-416F-A23B-8CC9059418DF}" name="OrderDate"/>
    <tableColumn id="3" xr3:uid="{BC1B26A8-5C16-4256-A281-A5DFCF0AD225}" name="CustomerName"/>
    <tableColumn id="4" xr3:uid="{5418AE51-9FCD-47E7-BE1F-3AA534E28D44}" name="City"/>
    <tableColumn id="5" xr3:uid="{49F0D9EB-D56E-4FC9-81CB-43EE7B263A1C}" name="Region"/>
    <tableColumn id="6" xr3:uid="{814B5B0F-C239-47D1-BE07-1BD85C51E8CF}" name="Product Category"/>
    <tableColumn id="7" xr3:uid="{5AE60D3F-E5AA-4173-ACB0-874ED7667AB5}" name="Product Name"/>
    <tableColumn id="8" xr3:uid="{7F826109-B087-405A-9500-5AA0FBB8F68C}" name="Sales Rep"/>
    <tableColumn id="9" xr3:uid="{A78F64F1-6402-4FC3-9D56-DC76303F5B62}" name="Units Sold"/>
    <tableColumn id="10" xr3:uid="{6DE99EC2-B4BB-4302-84A3-2DD27A1F81CD}" name="Unit Price"/>
    <tableColumn id="11" xr3:uid="{AA5056FD-4E31-4A1F-A7AF-F177994739A6}" name="Total Sales"/>
    <tableColumn id="12" xr3:uid="{DF127376-94B6-4207-A693-99D20A14A667}" name="Payment Method"/>
    <tableColumn id="13" xr3:uid="{BA4CDE3C-45C0-46BA-81DD-08FF3BBC0E94}" name="Discount"/>
    <tableColumn id="14" xr3:uid="{016E0EFB-81E2-4D52-AA62-6ABBB0A512D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9">
    <wetp:webextensionref xmlns:r="http://schemas.openxmlformats.org/officeDocument/2006/relationships" r:id="rId3"/>
  </wetp:taskpane>
  <wetp:taskpane dockstate="right" visibility="0" width="438" row="6">
    <wetp:webextensionref xmlns:r="http://schemas.openxmlformats.org/officeDocument/2006/relationships" r:id="rId4"/>
  </wetp:taskpane>
  <wetp:taskpane dockstate="right" visibility="0" width="438" row="7">
    <wetp:webextensionref xmlns:r="http://schemas.openxmlformats.org/officeDocument/2006/relationships" r:id="rId5"/>
  </wetp:taskpane>
  <wetp:taskpane dockstate="right" visibility="0" width="438" row="8">
    <wetp:webextensionref xmlns:r="http://schemas.openxmlformats.org/officeDocument/2006/relationships" r:id="rId6"/>
  </wetp:taskpane>
</wetp:taskpanes>
</file>

<file path=xl/webextensions/webextension1.xml><?xml version="1.0" encoding="utf-8"?>
<we:webextension xmlns:we="http://schemas.microsoft.com/office/webextensions/webextension/2010/11" id="{185A0D33-D1F0-451A-9143-97FAB915D8FF}">
  <we:reference id="wa200010215" version="1.0.0.0" store="en-US" storeType="OMEX"/>
  <we:alternateReferences>
    <we:reference id="wa200010215" version="1.0.0.0" store="wa200010215" storeType="OMEX"/>
  </we:alternateReferences>
  <we:properties>
    <we:property name="bps.codex_control.document_id" value="&quot;21c66e21-f017-463a-9328-e632f6920a8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DEB237B-C718-4916-AB87-B2F7BF044B3E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zybkUuAW5gxYbQc8NSUW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114C2F1E-AEA7-400D-A70B-078B79B8A7A2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7E264708-43F1-4804-B670-864904E7163C}">
  <we:reference id="wa104380084" version="1.0.0.0" store="en-US" storeType="OMEX"/>
  <we:alternateReferences>
    <we:reference id="wa104380084" version="1.0.0.0" store="wa104380084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F5FB2035-81F2-44D9-950F-F4F28CA5F17C}">
  <we:reference id="wa104379999" version="1.0.0.0" store="en-US" storeType="OMEX"/>
  <we:alternateReferences>
    <we:reference id="wa104379999" version="1.0.0.0" store="wa104379999" storeType="OMEX"/>
  </we:alternateReferences>
  <we:properties/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4DA8A3A6-DA9F-4FAC-9AF9-7ECBA6933403}">
  <we:reference id="wa200005107" version="1.1.0.0" store="en-US" storeType="OMEX"/>
  <we:alternateReferences>
    <we:reference id="WA200005107" version="1.1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9064-7B88-42DF-AEDE-88C8A2468754}">
  <sheetPr>
    <tabColor rgb="FFF4CCCC"/>
  </sheetPr>
  <dimension ref="A1:J10"/>
  <sheetViews>
    <sheetView workbookViewId="0">
      <selection activeCell="D23" sqref="D23"/>
    </sheetView>
  </sheetViews>
  <sheetFormatPr defaultRowHeight="14.4" x14ac:dyDescent="0.3"/>
  <cols>
    <col min="1" max="1" width="8.6640625" customWidth="1"/>
    <col min="2" max="2" width="10.44140625" customWidth="1"/>
    <col min="3" max="3" width="11.77734375" customWidth="1"/>
    <col min="4" max="4" width="13.33203125" customWidth="1"/>
    <col min="5" max="5" width="13.6640625" customWidth="1"/>
    <col min="6" max="6" width="8.5546875" customWidth="1"/>
    <col min="7" max="7" width="16.21875" customWidth="1"/>
    <col min="8" max="8" width="6.77734375" customWidth="1"/>
    <col min="9" max="9" width="9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/>
    </row>
    <row r="2" spans="1:10" x14ac:dyDescent="0.3">
      <c r="A2" t="s">
        <v>9</v>
      </c>
      <c r="B2">
        <v>94</v>
      </c>
      <c r="C2">
        <v>72</v>
      </c>
      <c r="D2">
        <v>69</v>
      </c>
      <c r="E2">
        <v>79</v>
      </c>
      <c r="F2">
        <v>86</v>
      </c>
      <c r="G2">
        <v>87</v>
      </c>
      <c r="H2">
        <f t="shared" ref="H2:H10" si="0">SUM(B2:F2)</f>
        <v>400</v>
      </c>
      <c r="I2">
        <v>81.166666666666671</v>
      </c>
    </row>
    <row r="3" spans="1:10" x14ac:dyDescent="0.3">
      <c r="A3" t="s">
        <v>10</v>
      </c>
      <c r="B3">
        <v>42</v>
      </c>
      <c r="C3">
        <v>90</v>
      </c>
      <c r="D3">
        <v>72</v>
      </c>
      <c r="E3">
        <v>56</v>
      </c>
      <c r="F3">
        <v>37</v>
      </c>
      <c r="G3">
        <v>87</v>
      </c>
      <c r="H3">
        <f t="shared" si="0"/>
        <v>297</v>
      </c>
      <c r="I3">
        <v>64</v>
      </c>
    </row>
    <row r="4" spans="1:10" x14ac:dyDescent="0.3">
      <c r="A4" t="s">
        <v>12</v>
      </c>
      <c r="B4">
        <v>52</v>
      </c>
      <c r="C4">
        <v>81</v>
      </c>
      <c r="D4">
        <v>39</v>
      </c>
      <c r="E4">
        <v>83</v>
      </c>
      <c r="F4">
        <v>76</v>
      </c>
      <c r="G4">
        <v>69</v>
      </c>
      <c r="H4">
        <f t="shared" si="0"/>
        <v>331</v>
      </c>
      <c r="I4">
        <v>66.666666666666671</v>
      </c>
    </row>
    <row r="5" spans="1:10" x14ac:dyDescent="0.3">
      <c r="A5" t="s">
        <v>13</v>
      </c>
      <c r="B5">
        <v>74</v>
      </c>
      <c r="C5">
        <v>95</v>
      </c>
      <c r="D5">
        <v>77</v>
      </c>
      <c r="E5">
        <v>40</v>
      </c>
      <c r="F5">
        <v>34</v>
      </c>
      <c r="G5">
        <v>50</v>
      </c>
      <c r="H5">
        <f t="shared" si="0"/>
        <v>320</v>
      </c>
      <c r="I5">
        <v>61.666666666666664</v>
      </c>
    </row>
    <row r="6" spans="1:10" x14ac:dyDescent="0.3">
      <c r="A6" t="s">
        <v>14</v>
      </c>
      <c r="B6">
        <v>78</v>
      </c>
      <c r="C6">
        <v>96</v>
      </c>
      <c r="D6">
        <v>52</v>
      </c>
      <c r="E6">
        <v>65</v>
      </c>
      <c r="F6">
        <v>60</v>
      </c>
      <c r="G6">
        <v>97</v>
      </c>
      <c r="H6">
        <f t="shared" si="0"/>
        <v>351</v>
      </c>
      <c r="I6">
        <v>74.666666666666671</v>
      </c>
    </row>
    <row r="7" spans="1:10" x14ac:dyDescent="0.3">
      <c r="A7" t="s">
        <v>16</v>
      </c>
      <c r="B7">
        <v>60</v>
      </c>
      <c r="C7">
        <v>37</v>
      </c>
      <c r="D7">
        <v>57</v>
      </c>
      <c r="E7">
        <v>53</v>
      </c>
      <c r="F7">
        <v>87</v>
      </c>
      <c r="G7">
        <v>43</v>
      </c>
      <c r="H7">
        <f t="shared" si="0"/>
        <v>294</v>
      </c>
      <c r="I7">
        <v>56.166666666666664</v>
      </c>
    </row>
    <row r="8" spans="1:10" x14ac:dyDescent="0.3">
      <c r="A8" t="s">
        <v>17</v>
      </c>
      <c r="B8">
        <v>78</v>
      </c>
      <c r="C8">
        <v>74</v>
      </c>
      <c r="D8">
        <v>31</v>
      </c>
      <c r="E8">
        <v>54</v>
      </c>
      <c r="F8">
        <v>32</v>
      </c>
      <c r="G8">
        <v>39</v>
      </c>
      <c r="H8">
        <f t="shared" si="0"/>
        <v>269</v>
      </c>
      <c r="I8">
        <v>51.333333333333336</v>
      </c>
    </row>
    <row r="9" spans="1:10" x14ac:dyDescent="0.3">
      <c r="A9" t="s">
        <v>11</v>
      </c>
      <c r="B9">
        <v>82</v>
      </c>
      <c r="C9">
        <v>86</v>
      </c>
      <c r="D9">
        <v>71</v>
      </c>
      <c r="E9">
        <v>42</v>
      </c>
      <c r="F9">
        <v>57</v>
      </c>
      <c r="G9">
        <v>59</v>
      </c>
      <c r="H9">
        <f t="shared" si="0"/>
        <v>338</v>
      </c>
      <c r="I9">
        <v>66.166666666666671</v>
      </c>
    </row>
    <row r="10" spans="1:10" x14ac:dyDescent="0.3">
      <c r="A10" t="s">
        <v>15</v>
      </c>
      <c r="B10">
        <v>78</v>
      </c>
      <c r="C10">
        <v>50</v>
      </c>
      <c r="D10">
        <v>85</v>
      </c>
      <c r="E10">
        <v>50</v>
      </c>
      <c r="F10">
        <v>90</v>
      </c>
      <c r="G10">
        <v>33</v>
      </c>
      <c r="H10">
        <f t="shared" si="0"/>
        <v>353</v>
      </c>
      <c r="I10">
        <v>64.333333333333329</v>
      </c>
    </row>
  </sheetData>
  <conditionalFormatting sqref="A1:I10">
    <cfRule type="cellIs" dxfId="53" priority="2" operator="lessThan">
      <formula>50</formula>
    </cfRule>
    <cfRule type="cellIs" dxfId="52" priority="3" operator="greaterThan">
      <formula>400</formula>
    </cfRule>
    <cfRule type="cellIs" dxfId="51" priority="4" operator="greaterThan">
      <formula>223</formula>
    </cfRule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{A54CC8E2-1C4A-49C2-8914-7A2BA13DF0BE}</x14:id>
        </ext>
      </extLst>
    </cfRule>
    <cfRule type="cellIs" dxfId="50" priority="6" operator="between">
      <formula>127</formula>
      <formula>319</formula>
    </cfRule>
    <cfRule type="cellIs" dxfId="49" priority="8" operator="greaterThan">
      <formula>400</formula>
    </cfRule>
    <cfRule type="cellIs" dxfId="48" priority="11" operator="between">
      <formula>127</formula>
      <formula>319</formula>
    </cfRule>
    <cfRule type="cellIs" dxfId="47" priority="12" operator="lessThan">
      <formula>280</formula>
    </cfRule>
    <cfRule type="top10" dxfId="46" priority="14" percent="1" rank="10"/>
    <cfRule type="cellIs" dxfId="45" priority="16" operator="greaterThan">
      <formula>249.5</formula>
    </cfRule>
  </conditionalFormatting>
  <conditionalFormatting sqref="K8">
    <cfRule type="top10" dxfId="44" priority="10" rank="10"/>
  </conditionalFormatting>
  <conditionalFormatting sqref="M8">
    <cfRule type="cellIs" dxfId="43" priority="9" operator="greaterThan">
      <formula>400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4CC8E2-1C4A-49C2-8914-7A2BA13DF0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A1:I10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D863-D6D5-4CC6-8E4B-B0E99575A308}">
  <sheetPr>
    <tabColor rgb="FFFCE5CD"/>
  </sheetPr>
  <dimension ref="A1:I10"/>
  <sheetViews>
    <sheetView zoomScale="102" zoomScaleNormal="102" workbookViewId="0">
      <selection activeCell="E12" sqref="E12"/>
    </sheetView>
  </sheetViews>
  <sheetFormatPr defaultRowHeight="14.4" x14ac:dyDescent="0.3"/>
  <cols>
    <col min="9" max="9" width="11" customWidth="1"/>
  </cols>
  <sheetData>
    <row r="1" spans="1:9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3">
      <c r="A2" s="1" t="s">
        <v>9</v>
      </c>
      <c r="B2" s="2">
        <v>32</v>
      </c>
      <c r="C2" s="2">
        <v>30</v>
      </c>
      <c r="D2" s="2">
        <v>64</v>
      </c>
      <c r="E2" s="2">
        <v>81</v>
      </c>
      <c r="F2" s="2">
        <v>94</v>
      </c>
      <c r="G2" s="2">
        <v>62</v>
      </c>
      <c r="H2" s="2">
        <v>363</v>
      </c>
      <c r="I2" s="3">
        <v>60.5</v>
      </c>
    </row>
    <row r="3" spans="1:9" x14ac:dyDescent="0.3">
      <c r="A3" s="1" t="s">
        <v>10</v>
      </c>
      <c r="B3" s="2">
        <v>41</v>
      </c>
      <c r="C3" s="2">
        <v>35</v>
      </c>
      <c r="D3" s="2">
        <v>70</v>
      </c>
      <c r="E3" s="2">
        <v>55</v>
      </c>
      <c r="F3" s="2">
        <v>73</v>
      </c>
      <c r="G3" s="2">
        <v>35</v>
      </c>
      <c r="H3" s="2">
        <v>309</v>
      </c>
      <c r="I3" s="3">
        <v>51.5</v>
      </c>
    </row>
    <row r="4" spans="1:9" x14ac:dyDescent="0.3">
      <c r="A4" s="1" t="s">
        <v>12</v>
      </c>
      <c r="B4" s="2">
        <v>98</v>
      </c>
      <c r="C4" s="2">
        <v>37</v>
      </c>
      <c r="D4" s="2">
        <v>37</v>
      </c>
      <c r="E4" s="2">
        <v>66</v>
      </c>
      <c r="F4" s="2">
        <v>74</v>
      </c>
      <c r="G4" s="2">
        <v>68</v>
      </c>
      <c r="H4" s="2">
        <v>380</v>
      </c>
      <c r="I4" s="3">
        <v>63.333333333333336</v>
      </c>
    </row>
    <row r="5" spans="1:9" x14ac:dyDescent="0.3">
      <c r="A5" s="1" t="s">
        <v>13</v>
      </c>
      <c r="B5" s="2">
        <v>44</v>
      </c>
      <c r="C5" s="2">
        <v>34</v>
      </c>
      <c r="D5" s="2">
        <v>97</v>
      </c>
      <c r="E5" s="2">
        <v>38</v>
      </c>
      <c r="F5" s="2">
        <v>47</v>
      </c>
      <c r="G5" s="2">
        <v>86</v>
      </c>
      <c r="H5" s="2">
        <v>346</v>
      </c>
      <c r="I5" s="3">
        <v>57.666666666666664</v>
      </c>
    </row>
    <row r="6" spans="1:9" x14ac:dyDescent="0.3">
      <c r="A6" s="1" t="s">
        <v>14</v>
      </c>
      <c r="B6" s="2">
        <v>100</v>
      </c>
      <c r="C6" s="2">
        <v>45</v>
      </c>
      <c r="D6" s="2">
        <v>91</v>
      </c>
      <c r="E6" s="2">
        <v>95</v>
      </c>
      <c r="F6" s="2">
        <v>38</v>
      </c>
      <c r="G6" s="2">
        <v>97</v>
      </c>
      <c r="H6" s="2">
        <v>466</v>
      </c>
      <c r="I6" s="3">
        <v>77.666666666666671</v>
      </c>
    </row>
    <row r="7" spans="1:9" x14ac:dyDescent="0.3">
      <c r="A7" s="1" t="s">
        <v>16</v>
      </c>
      <c r="B7" s="2">
        <v>36</v>
      </c>
      <c r="C7" s="2">
        <v>71</v>
      </c>
      <c r="D7" s="2">
        <v>87</v>
      </c>
      <c r="E7" s="2">
        <v>58</v>
      </c>
      <c r="F7" s="2">
        <v>84</v>
      </c>
      <c r="G7" s="2">
        <v>75</v>
      </c>
      <c r="H7" s="2">
        <v>411</v>
      </c>
      <c r="I7" s="3">
        <v>68.5</v>
      </c>
    </row>
    <row r="8" spans="1:9" x14ac:dyDescent="0.3">
      <c r="A8" s="1" t="s">
        <v>17</v>
      </c>
      <c r="B8" s="2">
        <v>54</v>
      </c>
      <c r="C8" s="2">
        <v>41</v>
      </c>
      <c r="D8" s="2">
        <v>53</v>
      </c>
      <c r="E8" s="2">
        <v>99</v>
      </c>
      <c r="F8" s="2">
        <v>85</v>
      </c>
      <c r="G8" s="2">
        <v>37</v>
      </c>
      <c r="H8" s="2">
        <v>369</v>
      </c>
      <c r="I8" s="3">
        <v>61.5</v>
      </c>
    </row>
    <row r="9" spans="1:9" x14ac:dyDescent="0.3">
      <c r="A9" s="1" t="s">
        <v>11</v>
      </c>
      <c r="B9" s="2">
        <v>89</v>
      </c>
      <c r="C9" s="2">
        <v>85</v>
      </c>
      <c r="D9" s="2">
        <v>80</v>
      </c>
      <c r="E9" s="2">
        <v>68</v>
      </c>
      <c r="F9" s="2">
        <v>58</v>
      </c>
      <c r="G9" s="2">
        <v>48</v>
      </c>
      <c r="H9" s="2">
        <v>428</v>
      </c>
      <c r="I9" s="3">
        <v>71.333333333333329</v>
      </c>
    </row>
    <row r="10" spans="1:9" x14ac:dyDescent="0.3">
      <c r="A10" s="1" t="s">
        <v>15</v>
      </c>
      <c r="B10" s="2">
        <v>75</v>
      </c>
      <c r="C10" s="2">
        <v>66</v>
      </c>
      <c r="D10" s="2">
        <v>83</v>
      </c>
      <c r="E10" s="2">
        <v>83</v>
      </c>
      <c r="F10" s="2">
        <v>43</v>
      </c>
      <c r="G10" s="2">
        <v>97</v>
      </c>
      <c r="H10" s="2">
        <v>447</v>
      </c>
      <c r="I10" s="3">
        <v>74.5</v>
      </c>
    </row>
  </sheetData>
  <conditionalFormatting sqref="A2">
    <cfRule type="top10" dxfId="42" priority="1" percent="1" rank="90"/>
  </conditionalFormatting>
  <conditionalFormatting sqref="A2:I10">
    <cfRule type="cellIs" dxfId="41" priority="4" operator="lessThan">
      <formula>50</formula>
    </cfRule>
    <cfRule type="cellIs" dxfId="40" priority="5" operator="greaterThan">
      <formula>400</formula>
    </cfRule>
    <cfRule type="cellIs" dxfId="39" priority="6" operator="greaterThan">
      <formula>223</formula>
    </cfRule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{861B4748-F47E-495A-86F2-EC9BB4F01C3B}</x14:id>
        </ext>
      </extLst>
    </cfRule>
    <cfRule type="cellIs" dxfId="38" priority="8" operator="between">
      <formula>127</formula>
      <formula>319</formula>
    </cfRule>
    <cfRule type="cellIs" dxfId="37" priority="10" operator="greaterThan">
      <formula>400</formula>
    </cfRule>
    <cfRule type="cellIs" dxfId="36" priority="11" operator="between">
      <formula>127</formula>
      <formula>319</formula>
    </cfRule>
    <cfRule type="cellIs" dxfId="35" priority="12" operator="lessThan">
      <formula>280</formula>
    </cfRule>
    <cfRule type="top10" dxfId="34" priority="13" percent="1" rank="10"/>
    <cfRule type="cellIs" dxfId="33" priority="14" operator="greaterThan">
      <formula>249.5</formula>
    </cfRule>
  </conditionalFormatting>
  <conditionalFormatting sqref="B2:G10">
    <cfRule type="cellIs" dxfId="32" priority="2" operator="lessThan">
      <formula>65</formula>
    </cfRule>
    <cfRule type="cellIs" dxfId="31" priority="3" operator="lessThan">
      <formula>28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1B4748-F47E-495A-86F2-EC9BB4F01C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A2:I10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CF12-ABA7-4FF0-8925-394D3E57466E}">
  <sheetPr>
    <tabColor rgb="FFFFF2CC"/>
  </sheetPr>
  <dimension ref="A1:U23"/>
  <sheetViews>
    <sheetView workbookViewId="0">
      <selection activeCell="G10" sqref="G10"/>
    </sheetView>
  </sheetViews>
  <sheetFormatPr defaultRowHeight="14.4" x14ac:dyDescent="0.3"/>
  <sheetData>
    <row r="1" spans="1:21" x14ac:dyDescent="0.3">
      <c r="A1" s="149" t="s">
        <v>27</v>
      </c>
      <c r="B1" s="149"/>
      <c r="E1" s="149" t="s">
        <v>33</v>
      </c>
      <c r="F1" s="149"/>
    </row>
    <row r="3" spans="1:21" x14ac:dyDescent="0.3">
      <c r="A3" t="s">
        <v>28</v>
      </c>
      <c r="B3">
        <v>0</v>
      </c>
      <c r="E3" t="s">
        <v>34</v>
      </c>
      <c r="F3">
        <v>88</v>
      </c>
    </row>
    <row r="4" spans="1:21" x14ac:dyDescent="0.3">
      <c r="A4" t="s">
        <v>29</v>
      </c>
      <c r="B4">
        <v>15</v>
      </c>
      <c r="E4" t="s">
        <v>33</v>
      </c>
      <c r="F4">
        <v>5</v>
      </c>
      <c r="U4" s="4"/>
    </row>
    <row r="5" spans="1:21" x14ac:dyDescent="0.3">
      <c r="A5" t="s">
        <v>30</v>
      </c>
      <c r="B5">
        <v>45</v>
      </c>
      <c r="E5" t="s">
        <v>35</v>
      </c>
      <c r="F5">
        <v>200</v>
      </c>
    </row>
    <row r="6" spans="1:21" x14ac:dyDescent="0.3">
      <c r="A6" t="s">
        <v>31</v>
      </c>
      <c r="B6">
        <v>40</v>
      </c>
    </row>
    <row r="7" spans="1:21" x14ac:dyDescent="0.3">
      <c r="A7" t="s">
        <v>32</v>
      </c>
      <c r="B7">
        <v>100</v>
      </c>
    </row>
    <row r="8" spans="1:21" x14ac:dyDescent="0.3">
      <c r="H8" s="137"/>
      <c r="I8" s="137"/>
      <c r="J8" s="137"/>
      <c r="K8" s="137"/>
      <c r="L8" s="137"/>
      <c r="M8" s="137"/>
      <c r="N8" s="137"/>
      <c r="O8" s="137"/>
    </row>
    <row r="9" spans="1:21" x14ac:dyDescent="0.3">
      <c r="H9" s="137"/>
      <c r="I9" s="137"/>
      <c r="J9" s="137"/>
      <c r="K9" s="137"/>
      <c r="L9" s="137"/>
      <c r="M9" s="137"/>
      <c r="N9" s="137"/>
      <c r="O9" s="137"/>
    </row>
    <row r="10" spans="1:21" x14ac:dyDescent="0.3">
      <c r="H10" s="137"/>
      <c r="I10" s="137"/>
      <c r="J10" s="137"/>
      <c r="K10" s="137"/>
      <c r="L10" s="137"/>
      <c r="M10" s="137"/>
      <c r="N10" s="137"/>
      <c r="O10" s="137"/>
    </row>
    <row r="11" spans="1:21" x14ac:dyDescent="0.3">
      <c r="H11" s="137"/>
      <c r="I11" s="137"/>
      <c r="J11" s="137"/>
      <c r="K11" s="137"/>
      <c r="L11" s="137"/>
      <c r="M11" s="137"/>
      <c r="N11" s="137"/>
      <c r="O11" s="137"/>
    </row>
    <row r="12" spans="1:21" x14ac:dyDescent="0.3">
      <c r="H12" s="137"/>
      <c r="I12" s="137"/>
      <c r="J12" s="137"/>
      <c r="K12" s="137"/>
      <c r="L12" s="137"/>
      <c r="M12" s="137"/>
      <c r="N12" s="137"/>
      <c r="O12" s="137"/>
    </row>
    <row r="13" spans="1:21" x14ac:dyDescent="0.3">
      <c r="H13" s="137"/>
      <c r="I13" s="137"/>
      <c r="J13" s="137"/>
      <c r="K13" s="137"/>
      <c r="L13" s="137"/>
      <c r="M13" s="137"/>
      <c r="N13" s="137"/>
      <c r="O13" s="137"/>
    </row>
    <row r="14" spans="1:21" x14ac:dyDescent="0.3">
      <c r="H14" s="137"/>
      <c r="I14" s="137"/>
      <c r="J14" s="137"/>
      <c r="K14" s="137"/>
      <c r="L14" s="137"/>
      <c r="M14" s="137"/>
      <c r="N14" s="137"/>
      <c r="O14" s="137"/>
    </row>
    <row r="15" spans="1:21" x14ac:dyDescent="0.3">
      <c r="H15" s="137"/>
      <c r="I15" s="137"/>
      <c r="J15" s="137"/>
      <c r="K15" s="137"/>
      <c r="L15" s="137"/>
      <c r="M15" s="137"/>
      <c r="N15" s="137"/>
      <c r="O15" s="137"/>
    </row>
    <row r="16" spans="1:21" x14ac:dyDescent="0.3">
      <c r="H16" s="137"/>
      <c r="I16" s="137"/>
      <c r="J16" s="137"/>
      <c r="K16" s="137"/>
      <c r="L16" s="137"/>
      <c r="M16" s="137"/>
      <c r="N16" s="137"/>
      <c r="O16" s="137"/>
    </row>
    <row r="17" spans="8:15" x14ac:dyDescent="0.3">
      <c r="H17" s="137"/>
      <c r="I17" s="137"/>
      <c r="J17" s="137"/>
      <c r="K17" s="137"/>
      <c r="L17" s="137"/>
      <c r="M17" s="137"/>
      <c r="N17" s="137"/>
      <c r="O17" s="137"/>
    </row>
    <row r="18" spans="8:15" x14ac:dyDescent="0.3">
      <c r="H18" s="137"/>
      <c r="I18" s="137"/>
      <c r="J18" s="137"/>
      <c r="K18" s="137"/>
      <c r="L18" s="137"/>
      <c r="M18" s="137"/>
      <c r="N18" s="137"/>
      <c r="O18" s="137"/>
    </row>
    <row r="19" spans="8:15" x14ac:dyDescent="0.3">
      <c r="H19" s="137"/>
      <c r="I19" s="137"/>
      <c r="J19" s="137"/>
      <c r="K19" s="137"/>
      <c r="L19" s="137"/>
      <c r="M19" s="137"/>
      <c r="N19" s="137"/>
      <c r="O19" s="137"/>
    </row>
    <row r="20" spans="8:15" x14ac:dyDescent="0.3">
      <c r="H20" s="137"/>
      <c r="I20" s="137"/>
      <c r="J20" s="137"/>
      <c r="K20" s="137"/>
      <c r="L20" s="137"/>
      <c r="M20" s="137"/>
      <c r="N20" s="137"/>
      <c r="O20" s="137"/>
    </row>
    <row r="21" spans="8:15" x14ac:dyDescent="0.3">
      <c r="H21" s="137"/>
      <c r="I21" s="137"/>
      <c r="J21" s="137"/>
      <c r="K21" s="137"/>
      <c r="L21" s="137"/>
      <c r="M21" s="137"/>
      <c r="N21" s="137"/>
      <c r="O21" s="137"/>
    </row>
    <row r="22" spans="8:15" x14ac:dyDescent="0.3">
      <c r="H22" s="137"/>
      <c r="I22" s="137"/>
      <c r="J22" s="137"/>
      <c r="K22" s="137"/>
      <c r="L22" s="137"/>
      <c r="M22" s="137"/>
      <c r="N22" s="137"/>
      <c r="O22" s="137"/>
    </row>
    <row r="23" spans="8:15" x14ac:dyDescent="0.3">
      <c r="H23" s="137"/>
      <c r="I23" s="137"/>
      <c r="J23" s="137"/>
      <c r="K23" s="137"/>
      <c r="L23" s="137"/>
      <c r="M23" s="137"/>
      <c r="N23" s="137"/>
      <c r="O23" s="137"/>
    </row>
  </sheetData>
  <mergeCells count="3">
    <mergeCell ref="A1:B1"/>
    <mergeCell ref="E1:F1"/>
    <mergeCell ref="H8:O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AA02-E6E2-4E1E-BB00-2FE24A719E11}">
  <sheetPr>
    <tabColor rgb="FFD9EAD3"/>
  </sheetPr>
  <dimension ref="A1:W31"/>
  <sheetViews>
    <sheetView topLeftCell="D1" zoomScale="97" workbookViewId="0">
      <selection activeCell="S7" sqref="S7"/>
    </sheetView>
  </sheetViews>
  <sheetFormatPr defaultRowHeight="14.4" x14ac:dyDescent="0.3"/>
  <cols>
    <col min="1" max="1" width="10.88671875" bestFit="1" customWidth="1"/>
    <col min="2" max="2" width="15.109375" bestFit="1" customWidth="1"/>
    <col min="3" max="3" width="10.6640625" bestFit="1" customWidth="1"/>
    <col min="4" max="4" width="8.21875" bestFit="1" customWidth="1"/>
    <col min="5" max="9" width="8.77734375" bestFit="1" customWidth="1"/>
    <col min="10" max="10" width="8.109375" bestFit="1" customWidth="1"/>
    <col min="11" max="11" width="9.44140625" bestFit="1" customWidth="1"/>
    <col min="13" max="13" width="12.6640625" bestFit="1" customWidth="1"/>
    <col min="14" max="14" width="5.88671875" bestFit="1" customWidth="1"/>
    <col min="15" max="16" width="7.5546875" bestFit="1" customWidth="1"/>
    <col min="17" max="17" width="11.6640625" customWidth="1"/>
    <col min="18" max="20" width="7.77734375" bestFit="1" customWidth="1"/>
    <col min="21" max="21" width="7.33203125" bestFit="1" customWidth="1"/>
    <col min="22" max="22" width="7.21875" bestFit="1" customWidth="1"/>
    <col min="23" max="23" width="8.5546875" bestFit="1" customWidth="1"/>
  </cols>
  <sheetData>
    <row r="1" spans="1:23" x14ac:dyDescent="0.3">
      <c r="A1" s="63" t="s">
        <v>96</v>
      </c>
      <c r="B1" s="49" t="s">
        <v>18</v>
      </c>
      <c r="C1" s="49" t="s">
        <v>97</v>
      </c>
      <c r="D1" s="49" t="s">
        <v>98</v>
      </c>
      <c r="E1" s="49" t="s">
        <v>99</v>
      </c>
      <c r="F1" s="49" t="s">
        <v>100</v>
      </c>
      <c r="G1" s="49" t="s">
        <v>101</v>
      </c>
      <c r="H1" s="49" t="s">
        <v>102</v>
      </c>
      <c r="I1" s="49" t="s">
        <v>103</v>
      </c>
      <c r="J1" s="49" t="s">
        <v>104</v>
      </c>
      <c r="K1" s="66" t="s">
        <v>105</v>
      </c>
      <c r="M1" s="138" t="s">
        <v>294</v>
      </c>
      <c r="N1" s="139"/>
    </row>
    <row r="2" spans="1:23" x14ac:dyDescent="0.3">
      <c r="A2" s="64">
        <v>101</v>
      </c>
      <c r="B2" s="65" t="s">
        <v>262</v>
      </c>
      <c r="C2" s="65" t="s">
        <v>126</v>
      </c>
      <c r="D2" s="65" t="s">
        <v>129</v>
      </c>
      <c r="E2" s="57">
        <v>42000</v>
      </c>
      <c r="F2" s="56">
        <v>39500</v>
      </c>
      <c r="G2" s="56">
        <v>44800</v>
      </c>
      <c r="H2" s="56">
        <v>46200</v>
      </c>
      <c r="I2" s="56">
        <v>170000</v>
      </c>
      <c r="J2" s="56">
        <v>52000</v>
      </c>
      <c r="K2" s="62">
        <v>0.08</v>
      </c>
      <c r="M2" t="s">
        <v>18</v>
      </c>
      <c r="N2" s="67" t="s">
        <v>97</v>
      </c>
      <c r="O2" t="s">
        <v>98</v>
      </c>
    </row>
    <row r="3" spans="1:23" x14ac:dyDescent="0.3">
      <c r="A3" s="52">
        <v>102</v>
      </c>
      <c r="B3" s="50" t="s">
        <v>263</v>
      </c>
      <c r="C3" s="50" t="s">
        <v>264</v>
      </c>
      <c r="D3" s="50" t="s">
        <v>130</v>
      </c>
      <c r="E3" s="58">
        <v>31500</v>
      </c>
      <c r="F3" s="54">
        <v>33200</v>
      </c>
      <c r="G3" s="54">
        <v>35600</v>
      </c>
      <c r="H3" s="54">
        <v>37100</v>
      </c>
      <c r="I3" s="54">
        <v>135000</v>
      </c>
      <c r="J3" s="54">
        <v>48000</v>
      </c>
      <c r="K3" s="60">
        <v>0.06</v>
      </c>
      <c r="M3" t="s">
        <v>273</v>
      </c>
      <c r="N3" s="67" t="s">
        <v>264</v>
      </c>
      <c r="O3" t="s">
        <v>295</v>
      </c>
    </row>
    <row r="4" spans="1:23" x14ac:dyDescent="0.3">
      <c r="A4" s="52">
        <v>103</v>
      </c>
      <c r="B4" s="50" t="s">
        <v>265</v>
      </c>
      <c r="C4" s="50" t="s">
        <v>266</v>
      </c>
      <c r="D4" s="50" t="s">
        <v>132</v>
      </c>
      <c r="E4" s="58">
        <v>28500</v>
      </c>
      <c r="F4" s="54">
        <v>30200</v>
      </c>
      <c r="G4" s="54">
        <v>31800</v>
      </c>
      <c r="H4" s="54">
        <v>34000</v>
      </c>
      <c r="I4" s="54">
        <v>120000</v>
      </c>
      <c r="J4" s="54">
        <v>45000</v>
      </c>
      <c r="K4" s="60">
        <v>0.05</v>
      </c>
      <c r="N4" s="67"/>
    </row>
    <row r="5" spans="1:23" x14ac:dyDescent="0.3">
      <c r="A5" s="52">
        <v>104</v>
      </c>
      <c r="B5" s="50" t="s">
        <v>267</v>
      </c>
      <c r="C5" s="50" t="s">
        <v>172</v>
      </c>
      <c r="D5" s="50" t="s">
        <v>131</v>
      </c>
      <c r="E5" s="58">
        <v>36500</v>
      </c>
      <c r="F5" s="54">
        <v>37200</v>
      </c>
      <c r="G5" s="54">
        <v>38900</v>
      </c>
      <c r="H5" s="54">
        <v>40100</v>
      </c>
      <c r="I5" s="54">
        <v>150000</v>
      </c>
      <c r="J5" s="54">
        <v>56000</v>
      </c>
      <c r="K5" s="60">
        <v>7.0000000000000007E-2</v>
      </c>
      <c r="M5" s="140" t="s">
        <v>296</v>
      </c>
      <c r="N5" s="140"/>
    </row>
    <row r="6" spans="1:23" x14ac:dyDescent="0.3">
      <c r="A6" s="52">
        <v>105</v>
      </c>
      <c r="B6" s="50" t="s">
        <v>268</v>
      </c>
      <c r="C6" s="50" t="s">
        <v>126</v>
      </c>
      <c r="D6" s="50" t="s">
        <v>129</v>
      </c>
      <c r="E6" s="58">
        <v>45500</v>
      </c>
      <c r="F6" s="54">
        <v>46800</v>
      </c>
      <c r="G6" s="54">
        <v>49200</v>
      </c>
      <c r="H6" s="54">
        <v>51000</v>
      </c>
      <c r="I6" s="54">
        <v>185000</v>
      </c>
      <c r="J6" s="54">
        <v>61000</v>
      </c>
      <c r="K6" s="60">
        <v>0.1</v>
      </c>
    </row>
    <row r="7" spans="1:23" x14ac:dyDescent="0.3">
      <c r="A7" s="52">
        <v>106</v>
      </c>
      <c r="B7" s="50" t="s">
        <v>269</v>
      </c>
      <c r="C7" s="50" t="s">
        <v>264</v>
      </c>
      <c r="D7" s="50" t="s">
        <v>132</v>
      </c>
      <c r="E7" s="58">
        <v>29800</v>
      </c>
      <c r="F7" s="54">
        <v>31200</v>
      </c>
      <c r="G7" s="54">
        <v>32900</v>
      </c>
      <c r="H7" s="54">
        <v>34600</v>
      </c>
      <c r="I7" s="54">
        <v>125000</v>
      </c>
      <c r="J7" s="54">
        <v>47000</v>
      </c>
      <c r="K7" s="60">
        <v>0.06</v>
      </c>
      <c r="M7" t="s">
        <v>96</v>
      </c>
      <c r="N7" t="s">
        <v>18</v>
      </c>
      <c r="O7" t="s">
        <v>97</v>
      </c>
      <c r="P7" t="s">
        <v>98</v>
      </c>
      <c r="Q7" t="s">
        <v>270</v>
      </c>
      <c r="R7" t="s">
        <v>100</v>
      </c>
      <c r="S7" t="s">
        <v>101</v>
      </c>
      <c r="T7" t="s">
        <v>102</v>
      </c>
      <c r="U7" t="s">
        <v>103</v>
      </c>
      <c r="V7" t="s">
        <v>104</v>
      </c>
      <c r="W7" t="s">
        <v>105</v>
      </c>
    </row>
    <row r="8" spans="1:23" x14ac:dyDescent="0.3">
      <c r="A8" s="52">
        <v>107</v>
      </c>
      <c r="B8" s="50" t="s">
        <v>270</v>
      </c>
      <c r="C8" s="50" t="s">
        <v>266</v>
      </c>
      <c r="D8" s="50" t="s">
        <v>130</v>
      </c>
      <c r="E8" s="58">
        <v>26200</v>
      </c>
      <c r="F8" s="54">
        <v>27500</v>
      </c>
      <c r="G8" s="54">
        <v>29100</v>
      </c>
      <c r="H8" s="54">
        <v>30500</v>
      </c>
      <c r="I8" s="54">
        <v>110000</v>
      </c>
      <c r="J8" s="54">
        <v>43000</v>
      </c>
      <c r="K8" s="60">
        <v>0.04</v>
      </c>
    </row>
    <row r="9" spans="1:23" x14ac:dyDescent="0.3">
      <c r="A9" s="52">
        <v>108</v>
      </c>
      <c r="B9" s="50" t="s">
        <v>271</v>
      </c>
      <c r="C9" s="50" t="s">
        <v>172</v>
      </c>
      <c r="D9" s="50" t="s">
        <v>131</v>
      </c>
      <c r="E9" s="58">
        <v>38200</v>
      </c>
      <c r="F9" s="54">
        <v>39800</v>
      </c>
      <c r="G9" s="54">
        <v>41500</v>
      </c>
      <c r="H9" s="54">
        <v>43200</v>
      </c>
      <c r="I9" s="54">
        <v>158000</v>
      </c>
      <c r="J9" s="54">
        <v>59000</v>
      </c>
      <c r="K9" s="60">
        <v>0.08</v>
      </c>
    </row>
    <row r="10" spans="1:23" x14ac:dyDescent="0.3">
      <c r="A10" s="52">
        <v>109</v>
      </c>
      <c r="B10" s="50" t="s">
        <v>272</v>
      </c>
      <c r="C10" s="50" t="s">
        <v>126</v>
      </c>
      <c r="D10" s="50" t="s">
        <v>132</v>
      </c>
      <c r="E10" s="58">
        <v>40400</v>
      </c>
      <c r="F10" s="54">
        <v>42100</v>
      </c>
      <c r="G10" s="54">
        <v>43800</v>
      </c>
      <c r="H10" s="54">
        <v>45600</v>
      </c>
      <c r="I10" s="54">
        <v>165000</v>
      </c>
      <c r="J10" s="54">
        <v>54000</v>
      </c>
      <c r="K10" s="60">
        <v>7.0000000000000007E-2</v>
      </c>
    </row>
    <row r="11" spans="1:23" x14ac:dyDescent="0.3">
      <c r="A11" s="52">
        <v>110</v>
      </c>
      <c r="B11" s="50" t="s">
        <v>273</v>
      </c>
      <c r="C11" s="50" t="s">
        <v>264</v>
      </c>
      <c r="D11" s="50" t="s">
        <v>129</v>
      </c>
      <c r="E11" s="58">
        <v>33600</v>
      </c>
      <c r="F11" s="54">
        <v>34800</v>
      </c>
      <c r="G11" s="54">
        <v>36500</v>
      </c>
      <c r="H11" s="54">
        <v>38200</v>
      </c>
      <c r="I11" s="54">
        <v>140000</v>
      </c>
      <c r="J11" s="54">
        <v>50000</v>
      </c>
      <c r="K11" s="60">
        <v>0.06</v>
      </c>
    </row>
    <row r="12" spans="1:23" x14ac:dyDescent="0.3">
      <c r="A12" s="52">
        <v>111</v>
      </c>
      <c r="B12" s="50" t="s">
        <v>274</v>
      </c>
      <c r="C12" s="50" t="s">
        <v>266</v>
      </c>
      <c r="D12" s="50" t="s">
        <v>131</v>
      </c>
      <c r="E12" s="58">
        <v>27400</v>
      </c>
      <c r="F12" s="54">
        <v>28800</v>
      </c>
      <c r="G12" s="54">
        <v>30200</v>
      </c>
      <c r="H12" s="54">
        <v>31800</v>
      </c>
      <c r="I12" s="54">
        <v>112000</v>
      </c>
      <c r="J12" s="54">
        <v>44000</v>
      </c>
      <c r="K12" s="60">
        <v>0.05</v>
      </c>
    </row>
    <row r="13" spans="1:23" x14ac:dyDescent="0.3">
      <c r="A13" s="52">
        <v>112</v>
      </c>
      <c r="B13" s="50" t="s">
        <v>275</v>
      </c>
      <c r="C13" s="50" t="s">
        <v>172</v>
      </c>
      <c r="D13" s="50" t="s">
        <v>130</v>
      </c>
      <c r="E13" s="58">
        <v>35400</v>
      </c>
      <c r="F13" s="54">
        <v>36700</v>
      </c>
      <c r="G13" s="54">
        <v>37900</v>
      </c>
      <c r="H13" s="54">
        <v>39400</v>
      </c>
      <c r="I13" s="54">
        <v>145000</v>
      </c>
      <c r="J13" s="54">
        <v>55000</v>
      </c>
      <c r="K13" s="60">
        <v>7.0000000000000007E-2</v>
      </c>
    </row>
    <row r="14" spans="1:23" x14ac:dyDescent="0.3">
      <c r="A14" s="52">
        <v>113</v>
      </c>
      <c r="B14" s="50" t="s">
        <v>276</v>
      </c>
      <c r="C14" s="50" t="s">
        <v>126</v>
      </c>
      <c r="D14" s="50" t="s">
        <v>129</v>
      </c>
      <c r="E14" s="58">
        <v>47800</v>
      </c>
      <c r="F14" s="54">
        <v>49100</v>
      </c>
      <c r="G14" s="54">
        <v>51500</v>
      </c>
      <c r="H14" s="54">
        <v>53600</v>
      </c>
      <c r="I14" s="54">
        <v>195000</v>
      </c>
      <c r="J14" s="54">
        <v>63000</v>
      </c>
      <c r="K14" s="60">
        <v>0.11</v>
      </c>
    </row>
    <row r="15" spans="1:23" x14ac:dyDescent="0.3">
      <c r="A15" s="52">
        <v>114</v>
      </c>
      <c r="B15" s="50" t="s">
        <v>277</v>
      </c>
      <c r="C15" s="50" t="s">
        <v>264</v>
      </c>
      <c r="D15" s="50" t="s">
        <v>131</v>
      </c>
      <c r="E15" s="58">
        <v>32600</v>
      </c>
      <c r="F15" s="54">
        <v>33900</v>
      </c>
      <c r="G15" s="54">
        <v>35100</v>
      </c>
      <c r="H15" s="54">
        <v>36600</v>
      </c>
      <c r="I15" s="54">
        <v>132000</v>
      </c>
      <c r="J15" s="54">
        <v>49000</v>
      </c>
      <c r="K15" s="60">
        <v>0.06</v>
      </c>
    </row>
    <row r="16" spans="1:23" x14ac:dyDescent="0.3">
      <c r="A16" s="52">
        <v>115</v>
      </c>
      <c r="B16" s="50" t="s">
        <v>278</v>
      </c>
      <c r="C16" s="50" t="s">
        <v>266</v>
      </c>
      <c r="D16" s="50" t="s">
        <v>132</v>
      </c>
      <c r="E16" s="58">
        <v>29200</v>
      </c>
      <c r="F16" s="54">
        <v>30600</v>
      </c>
      <c r="G16" s="54">
        <v>31900</v>
      </c>
      <c r="H16" s="54">
        <v>33300</v>
      </c>
      <c r="I16" s="54">
        <v>118000</v>
      </c>
      <c r="J16" s="54">
        <v>46000</v>
      </c>
      <c r="K16" s="60">
        <v>0.05</v>
      </c>
    </row>
    <row r="17" spans="1:11" x14ac:dyDescent="0.3">
      <c r="A17" s="52">
        <v>116</v>
      </c>
      <c r="B17" s="50" t="s">
        <v>279</v>
      </c>
      <c r="C17" s="50" t="s">
        <v>172</v>
      </c>
      <c r="D17" s="50" t="s">
        <v>130</v>
      </c>
      <c r="E17" s="58">
        <v>37100</v>
      </c>
      <c r="F17" s="54">
        <v>38600</v>
      </c>
      <c r="G17" s="54">
        <v>40200</v>
      </c>
      <c r="H17" s="54">
        <v>41900</v>
      </c>
      <c r="I17" s="54">
        <v>152000</v>
      </c>
      <c r="J17" s="54">
        <v>57500</v>
      </c>
      <c r="K17" s="60">
        <v>0.08</v>
      </c>
    </row>
    <row r="18" spans="1:11" x14ac:dyDescent="0.3">
      <c r="A18" s="52">
        <v>117</v>
      </c>
      <c r="B18" s="50" t="s">
        <v>280</v>
      </c>
      <c r="C18" s="50" t="s">
        <v>126</v>
      </c>
      <c r="D18" s="50" t="s">
        <v>131</v>
      </c>
      <c r="E18" s="58">
        <v>41200</v>
      </c>
      <c r="F18" s="54">
        <v>42900</v>
      </c>
      <c r="G18" s="54">
        <v>44700</v>
      </c>
      <c r="H18" s="54">
        <v>46800</v>
      </c>
      <c r="I18" s="54">
        <v>168000</v>
      </c>
      <c r="J18" s="54">
        <v>55500</v>
      </c>
      <c r="K18" s="60">
        <v>0.08</v>
      </c>
    </row>
    <row r="19" spans="1:11" x14ac:dyDescent="0.3">
      <c r="A19" s="52">
        <v>118</v>
      </c>
      <c r="B19" s="50" t="s">
        <v>281</v>
      </c>
      <c r="C19" s="50" t="s">
        <v>264</v>
      </c>
      <c r="D19" s="50" t="s">
        <v>129</v>
      </c>
      <c r="E19" s="58">
        <v>34200</v>
      </c>
      <c r="F19" s="54">
        <v>35500</v>
      </c>
      <c r="G19" s="54">
        <v>37100</v>
      </c>
      <c r="H19" s="54">
        <v>38900</v>
      </c>
      <c r="I19" s="54">
        <v>138000</v>
      </c>
      <c r="J19" s="54">
        <v>50500</v>
      </c>
      <c r="K19" s="60">
        <v>0.06</v>
      </c>
    </row>
    <row r="20" spans="1:11" x14ac:dyDescent="0.3">
      <c r="A20" s="52">
        <v>119</v>
      </c>
      <c r="B20" s="50" t="s">
        <v>282</v>
      </c>
      <c r="C20" s="50" t="s">
        <v>266</v>
      </c>
      <c r="D20" s="50" t="s">
        <v>130</v>
      </c>
      <c r="E20" s="58">
        <v>28100</v>
      </c>
      <c r="F20" s="54">
        <v>29400</v>
      </c>
      <c r="G20" s="54">
        <v>30900</v>
      </c>
      <c r="H20" s="54">
        <v>32600</v>
      </c>
      <c r="I20" s="54">
        <v>115000</v>
      </c>
      <c r="J20" s="54">
        <v>44500</v>
      </c>
      <c r="K20" s="60">
        <v>0.05</v>
      </c>
    </row>
    <row r="21" spans="1:11" x14ac:dyDescent="0.3">
      <c r="A21" s="52">
        <v>120</v>
      </c>
      <c r="B21" s="50" t="s">
        <v>283</v>
      </c>
      <c r="C21" s="50" t="s">
        <v>172</v>
      </c>
      <c r="D21" s="50" t="s">
        <v>132</v>
      </c>
      <c r="E21" s="58">
        <v>36400</v>
      </c>
      <c r="F21" s="54">
        <v>38100</v>
      </c>
      <c r="G21" s="54">
        <v>39700</v>
      </c>
      <c r="H21" s="54">
        <v>41400</v>
      </c>
      <c r="I21" s="54">
        <v>150000</v>
      </c>
      <c r="J21" s="54">
        <v>56500</v>
      </c>
      <c r="K21" s="60">
        <v>7.0000000000000007E-2</v>
      </c>
    </row>
    <row r="22" spans="1:11" x14ac:dyDescent="0.3">
      <c r="A22" s="52">
        <v>121</v>
      </c>
      <c r="B22" s="50" t="s">
        <v>284</v>
      </c>
      <c r="C22" s="50" t="s">
        <v>126</v>
      </c>
      <c r="D22" s="50" t="s">
        <v>129</v>
      </c>
      <c r="E22" s="58">
        <v>48900</v>
      </c>
      <c r="F22" s="54">
        <v>50600</v>
      </c>
      <c r="G22" s="54">
        <v>52800</v>
      </c>
      <c r="H22" s="54">
        <v>54900</v>
      </c>
      <c r="I22" s="54">
        <v>200000</v>
      </c>
      <c r="J22" s="54">
        <v>65000</v>
      </c>
      <c r="K22" s="60">
        <v>0.12</v>
      </c>
    </row>
    <row r="23" spans="1:11" x14ac:dyDescent="0.3">
      <c r="A23" s="52">
        <v>122</v>
      </c>
      <c r="B23" s="50" t="s">
        <v>285</v>
      </c>
      <c r="C23" s="50" t="s">
        <v>264</v>
      </c>
      <c r="D23" s="50" t="s">
        <v>130</v>
      </c>
      <c r="E23" s="58">
        <v>31800</v>
      </c>
      <c r="F23" s="54">
        <v>33100</v>
      </c>
      <c r="G23" s="54">
        <v>34900</v>
      </c>
      <c r="H23" s="54">
        <v>36700</v>
      </c>
      <c r="I23" s="54">
        <v>130000</v>
      </c>
      <c r="J23" s="54">
        <v>48500</v>
      </c>
      <c r="K23" s="60">
        <v>0.06</v>
      </c>
    </row>
    <row r="24" spans="1:11" x14ac:dyDescent="0.3">
      <c r="A24" s="52">
        <v>123</v>
      </c>
      <c r="B24" s="50" t="s">
        <v>286</v>
      </c>
      <c r="C24" s="50" t="s">
        <v>266</v>
      </c>
      <c r="D24" s="50" t="s">
        <v>131</v>
      </c>
      <c r="E24" s="58">
        <v>26900</v>
      </c>
      <c r="F24" s="54">
        <v>28200</v>
      </c>
      <c r="G24" s="54">
        <v>29800</v>
      </c>
      <c r="H24" s="54">
        <v>31400</v>
      </c>
      <c r="I24" s="54">
        <v>108000</v>
      </c>
      <c r="J24" s="54">
        <v>42500</v>
      </c>
      <c r="K24" s="60">
        <v>0.04</v>
      </c>
    </row>
    <row r="25" spans="1:11" x14ac:dyDescent="0.3">
      <c r="A25" s="52">
        <v>124</v>
      </c>
      <c r="B25" s="50" t="s">
        <v>287</v>
      </c>
      <c r="C25" s="50" t="s">
        <v>172</v>
      </c>
      <c r="D25" s="50" t="s">
        <v>132</v>
      </c>
      <c r="E25" s="58">
        <v>37700</v>
      </c>
      <c r="F25" s="54">
        <v>39200</v>
      </c>
      <c r="G25" s="54">
        <v>40900</v>
      </c>
      <c r="H25" s="54">
        <v>42700</v>
      </c>
      <c r="I25" s="54">
        <v>155000</v>
      </c>
      <c r="J25" s="54">
        <v>58500</v>
      </c>
      <c r="K25" s="60">
        <v>0.08</v>
      </c>
    </row>
    <row r="26" spans="1:11" x14ac:dyDescent="0.3">
      <c r="A26" s="52">
        <v>125</v>
      </c>
      <c r="B26" s="50" t="s">
        <v>288</v>
      </c>
      <c r="C26" s="50" t="s">
        <v>126</v>
      </c>
      <c r="D26" s="50" t="s">
        <v>130</v>
      </c>
      <c r="E26" s="58">
        <v>43800</v>
      </c>
      <c r="F26" s="54">
        <v>45100</v>
      </c>
      <c r="G26" s="54">
        <v>47400</v>
      </c>
      <c r="H26" s="54">
        <v>49600</v>
      </c>
      <c r="I26" s="54">
        <v>180000</v>
      </c>
      <c r="J26" s="54">
        <v>60000</v>
      </c>
      <c r="K26" s="60">
        <v>0.09</v>
      </c>
    </row>
    <row r="27" spans="1:11" x14ac:dyDescent="0.3">
      <c r="A27" s="52">
        <v>126</v>
      </c>
      <c r="B27" s="50" t="s">
        <v>289</v>
      </c>
      <c r="C27" s="50" t="s">
        <v>264</v>
      </c>
      <c r="D27" s="50" t="s">
        <v>131</v>
      </c>
      <c r="E27" s="58">
        <v>33300</v>
      </c>
      <c r="F27" s="54">
        <v>34700</v>
      </c>
      <c r="G27" s="54">
        <v>36200</v>
      </c>
      <c r="H27" s="54">
        <v>37900</v>
      </c>
      <c r="I27" s="54">
        <v>136000</v>
      </c>
      <c r="J27" s="54">
        <v>49500</v>
      </c>
      <c r="K27" s="60">
        <v>0.06</v>
      </c>
    </row>
    <row r="28" spans="1:11" x14ac:dyDescent="0.3">
      <c r="A28" s="52">
        <v>127</v>
      </c>
      <c r="B28" s="50" t="s">
        <v>290</v>
      </c>
      <c r="C28" s="50" t="s">
        <v>266</v>
      </c>
      <c r="D28" s="50" t="s">
        <v>129</v>
      </c>
      <c r="E28" s="58">
        <v>28600</v>
      </c>
      <c r="F28" s="54">
        <v>30100</v>
      </c>
      <c r="G28" s="54">
        <v>31600</v>
      </c>
      <c r="H28" s="54">
        <v>33200</v>
      </c>
      <c r="I28" s="54">
        <v>116000</v>
      </c>
      <c r="J28" s="54">
        <v>45500</v>
      </c>
      <c r="K28" s="60">
        <v>0.05</v>
      </c>
    </row>
    <row r="29" spans="1:11" x14ac:dyDescent="0.3">
      <c r="A29" s="52">
        <v>128</v>
      </c>
      <c r="B29" s="50" t="s">
        <v>291</v>
      </c>
      <c r="C29" s="50" t="s">
        <v>172</v>
      </c>
      <c r="D29" s="50" t="s">
        <v>130</v>
      </c>
      <c r="E29" s="58">
        <v>38900</v>
      </c>
      <c r="F29" s="54">
        <v>40500</v>
      </c>
      <c r="G29" s="54">
        <v>42200</v>
      </c>
      <c r="H29" s="54">
        <v>44100</v>
      </c>
      <c r="I29" s="54">
        <v>160000</v>
      </c>
      <c r="J29" s="54">
        <v>60000</v>
      </c>
      <c r="K29" s="60">
        <v>0.08</v>
      </c>
    </row>
    <row r="30" spans="1:11" x14ac:dyDescent="0.3">
      <c r="A30" s="52">
        <v>129</v>
      </c>
      <c r="B30" s="50" t="s">
        <v>292</v>
      </c>
      <c r="C30" s="50" t="s">
        <v>126</v>
      </c>
      <c r="D30" s="50" t="s">
        <v>132</v>
      </c>
      <c r="E30" s="58">
        <v>42100</v>
      </c>
      <c r="F30" s="54">
        <v>43700</v>
      </c>
      <c r="G30" s="54">
        <v>45900</v>
      </c>
      <c r="H30" s="54">
        <v>48200</v>
      </c>
      <c r="I30" s="54">
        <v>172000</v>
      </c>
      <c r="J30" s="54">
        <v>57000</v>
      </c>
      <c r="K30" s="60">
        <v>0.08</v>
      </c>
    </row>
    <row r="31" spans="1:11" x14ac:dyDescent="0.3">
      <c r="A31" s="53">
        <v>130</v>
      </c>
      <c r="B31" s="51" t="s">
        <v>293</v>
      </c>
      <c r="C31" s="51" t="s">
        <v>264</v>
      </c>
      <c r="D31" s="51" t="s">
        <v>129</v>
      </c>
      <c r="E31" s="59">
        <v>35100</v>
      </c>
      <c r="F31" s="55">
        <v>36600</v>
      </c>
      <c r="G31" s="55">
        <v>38200</v>
      </c>
      <c r="H31" s="55">
        <v>39900</v>
      </c>
      <c r="I31" s="55">
        <v>142000</v>
      </c>
      <c r="J31" s="55">
        <v>51000</v>
      </c>
      <c r="K31" s="61">
        <v>7.0000000000000007E-2</v>
      </c>
    </row>
  </sheetData>
  <mergeCells count="2">
    <mergeCell ref="M1:N1"/>
    <mergeCell ref="M5:N5"/>
  </mergeCells>
  <dataValidations xWindow="110" yWindow="365" count="13">
    <dataValidation type="textLength" operator="equal" allowBlank="1" showInputMessage="1" showErrorMessage="1" sqref="A41:A1048576" xr:uid="{8CF260C8-DA11-4995-B53A-4C0444CC99E1}">
      <formula1>10</formula1>
    </dataValidation>
    <dataValidation type="list" showInputMessage="1" showErrorMessage="1" errorTitle="Invalid Department" error="Choose a department from the dropdown list." promptTitle="Department" prompt="Select a department from the dropdown." sqref="C2:C31" xr:uid="{602E640D-A285-4F18-8AEE-83E304128D43}">
      <formula1>"$M$2:$M$5"</formula1>
    </dataValidation>
    <dataValidation type="list" showInputMessage="1" showErrorMessage="1" errorTitle="Invalid Region" error="Choose a region from the dropdown list." promptTitle="Region" prompt="Select a region from the dropdown." sqref="D2:D31" xr:uid="{0C025FAF-754C-4A75-8A88-5E75ED4E43A3}">
      <formula1>"$N$2:$N$5"</formula1>
    </dataValidation>
    <dataValidation type="custom" showInputMessage="1" showErrorMessage="1" sqref="A2:A31" xr:uid="{D536BEBB-B021-4314-A803-CFC2031AB82C}">
      <formula1>AND(ISNUMBER(A2),A2=INT(A2),A2&gt;=100,A2&lt;=999,COUNTIF($A$2:$A$31,A2)=1)</formula1>
    </dataValidation>
    <dataValidation type="custom" showInputMessage="1" showErrorMessage="1" sqref="B2:B31" xr:uid="{639D5EAC-9F26-485D-87C6-394101724C34}">
      <formula1>LEN(TRIM(B2))&gt;=2</formula1>
    </dataValidation>
    <dataValidation type="custom" showInputMessage="1" showErrorMessage="1" sqref="E2:H31" xr:uid="{66CF3BBD-7C81-4411-9344-1E50CF82A1DF}">
      <formula1>AND(ISNUMBER(E2),E2=INT(E2),E2&gt;=0,E2&lt;=100000)</formula1>
    </dataValidation>
    <dataValidation type="custom" showInputMessage="1" showErrorMessage="1" sqref="I2:I31" xr:uid="{DD7F6227-F67A-44C7-9C6B-8363CAA385E4}">
      <formula1>AND(ISNUMBER(I2),I2=INT(I2),I2&gt;=0,I2&lt;=300000)</formula1>
    </dataValidation>
    <dataValidation type="custom" showInputMessage="1" showErrorMessage="1" sqref="J2:J31" xr:uid="{BC166D69-E256-4E67-BA95-4D0089C11444}">
      <formula1>AND(ISNUMBER(J2),J2=INT(J2),J2&gt;=0,J2&lt;=200000)</formula1>
    </dataValidation>
    <dataValidation type="custom" showInputMessage="1" showErrorMessage="1" sqref="K2:K31" xr:uid="{95131419-9F81-4727-8C68-098467FF20C8}">
      <formula1>AND(ISNUMBER(K2),K2&gt;=0,K2&lt;=20%)</formula1>
    </dataValidation>
    <dataValidation type="list" allowBlank="1" showInputMessage="1" showErrorMessage="1" sqref="M3" xr:uid="{77631EF8-A364-42FB-9C95-85124B7F4513}">
      <formula1>$B$2:$B$31</formula1>
    </dataValidation>
    <dataValidation type="list" allowBlank="1" showInputMessage="1" showErrorMessage="1" sqref="N3" xr:uid="{ED61114F-5937-446C-864E-B65F04FA9764}">
      <formula1>$C$2:$C$31</formula1>
    </dataValidation>
    <dataValidation type="list" allowBlank="1" showInputMessage="1" showErrorMessage="1" sqref="O3" xr:uid="{F275F782-8EA0-4006-A724-B7446D7B5340}">
      <formula1>$D$2:$D$31</formula1>
    </dataValidation>
    <dataValidation type="list" allowBlank="1" showInputMessage="1" showErrorMessage="1" sqref="Q7" xr:uid="{EB8CBBAE-5ECE-40EC-BEE1-C49C793C4465}">
      <formula1>$B$1:$B$31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958A-E13B-490F-8828-D2A798AEBC06}">
  <sheetPr>
    <tabColor rgb="FFD0E0E3"/>
  </sheetPr>
  <dimension ref="A1:S60"/>
  <sheetViews>
    <sheetView workbookViewId="0">
      <selection activeCell="I4" sqref="I4"/>
    </sheetView>
  </sheetViews>
  <sheetFormatPr defaultRowHeight="14.4" x14ac:dyDescent="0.3"/>
  <cols>
    <col min="1" max="1" width="11.21875" bestFit="1" customWidth="1"/>
    <col min="2" max="2" width="19.44140625" customWidth="1"/>
    <col min="3" max="3" width="13.33203125" customWidth="1"/>
    <col min="4" max="4" width="15.33203125" customWidth="1"/>
    <col min="5" max="6" width="9" bestFit="1" customWidth="1"/>
    <col min="7" max="7" width="14" customWidth="1"/>
    <col min="8" max="8" width="12.109375" customWidth="1"/>
    <col min="9" max="9" width="11.88671875" customWidth="1"/>
  </cols>
  <sheetData>
    <row r="1" spans="1:19" ht="14.4" customHeight="1" x14ac:dyDescent="0.3">
      <c r="A1" s="141" t="s">
        <v>37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</row>
    <row r="2" spans="1:19" x14ac:dyDescent="0.3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</row>
    <row r="3" spans="1:19" x14ac:dyDescent="0.3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</row>
    <row r="4" spans="1:19" x14ac:dyDescent="0.3">
      <c r="A4" t="s">
        <v>36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94</v>
      </c>
      <c r="I4" t="s">
        <v>95</v>
      </c>
    </row>
    <row r="5" spans="1:19" x14ac:dyDescent="0.3">
      <c r="A5" s="5">
        <v>43922</v>
      </c>
      <c r="B5" s="7" t="s">
        <v>44</v>
      </c>
      <c r="C5" t="s">
        <v>66</v>
      </c>
      <c r="D5" t="s">
        <v>87</v>
      </c>
      <c r="E5">
        <v>1350</v>
      </c>
      <c r="F5">
        <v>21857</v>
      </c>
      <c r="G5">
        <f>SUM(E5,F5)</f>
        <v>23207</v>
      </c>
      <c r="H5">
        <f>SUBTOTAL(109,Table3[[#This Row],[QTY]:[AMOUNT]])</f>
        <v>46414</v>
      </c>
    </row>
    <row r="6" spans="1:19" x14ac:dyDescent="0.3">
      <c r="A6" s="5">
        <v>43923</v>
      </c>
      <c r="B6" s="7" t="s">
        <v>45</v>
      </c>
      <c r="C6" t="s">
        <v>84</v>
      </c>
      <c r="D6" t="s">
        <v>88</v>
      </c>
      <c r="E6">
        <v>1226</v>
      </c>
      <c r="F6">
        <v>36303</v>
      </c>
      <c r="G6">
        <f t="shared" ref="G6:G43" si="0">SUM(E6,F6)</f>
        <v>37529</v>
      </c>
      <c r="H6">
        <f>SUBTOTAL(109,Table3[[#This Row],[QTY]:[AMOUNT]])</f>
        <v>75058</v>
      </c>
    </row>
    <row r="7" spans="1:19" ht="27.6" x14ac:dyDescent="0.3">
      <c r="A7" s="5">
        <v>43924</v>
      </c>
      <c r="B7" s="8" t="s">
        <v>46</v>
      </c>
      <c r="C7" t="s">
        <v>66</v>
      </c>
      <c r="D7" t="s">
        <v>89</v>
      </c>
      <c r="E7">
        <v>1204</v>
      </c>
      <c r="F7">
        <v>38311</v>
      </c>
      <c r="G7">
        <f t="shared" si="0"/>
        <v>39515</v>
      </c>
      <c r="H7">
        <f>SUBTOTAL(109,Table3[[#This Row],[QTY]:[AMOUNT]])</f>
        <v>79030</v>
      </c>
    </row>
    <row r="8" spans="1:19" x14ac:dyDescent="0.3">
      <c r="A8" s="5">
        <v>43925</v>
      </c>
      <c r="B8" s="8" t="s">
        <v>47</v>
      </c>
      <c r="C8" t="s">
        <v>84</v>
      </c>
      <c r="D8" t="s">
        <v>89</v>
      </c>
      <c r="E8">
        <v>1658</v>
      </c>
      <c r="F8">
        <v>8348</v>
      </c>
      <c r="G8">
        <f t="shared" si="0"/>
        <v>10006</v>
      </c>
      <c r="H8">
        <f>SUBTOTAL(109,Table3[[#This Row],[QTY]:[AMOUNT]])</f>
        <v>20012</v>
      </c>
    </row>
    <row r="9" spans="1:19" x14ac:dyDescent="0.3">
      <c r="A9" s="5">
        <v>43926</v>
      </c>
      <c r="B9" s="8" t="s">
        <v>48</v>
      </c>
      <c r="C9" t="s">
        <v>85</v>
      </c>
      <c r="D9" t="s">
        <v>90</v>
      </c>
      <c r="E9">
        <v>794</v>
      </c>
      <c r="F9">
        <v>4214</v>
      </c>
      <c r="G9">
        <f t="shared" si="0"/>
        <v>5008</v>
      </c>
      <c r="H9">
        <f>SUBTOTAL(109,Table3[[#This Row],[QTY]:[AMOUNT]])</f>
        <v>10016</v>
      </c>
    </row>
    <row r="10" spans="1:19" x14ac:dyDescent="0.3">
      <c r="A10" s="5">
        <v>43927</v>
      </c>
      <c r="B10" s="8" t="s">
        <v>49</v>
      </c>
      <c r="C10" t="s">
        <v>66</v>
      </c>
      <c r="D10" t="s">
        <v>87</v>
      </c>
      <c r="E10">
        <v>665</v>
      </c>
      <c r="F10">
        <v>6908</v>
      </c>
      <c r="G10">
        <f t="shared" si="0"/>
        <v>7573</v>
      </c>
      <c r="H10">
        <f>SUBTOTAL(109,Table3[[#This Row],[QTY]:[AMOUNT]])</f>
        <v>15146</v>
      </c>
    </row>
    <row r="11" spans="1:19" x14ac:dyDescent="0.3">
      <c r="A11" s="5">
        <v>43928</v>
      </c>
      <c r="B11" s="8" t="s">
        <v>50</v>
      </c>
      <c r="C11" t="s">
        <v>86</v>
      </c>
      <c r="D11" t="s">
        <v>87</v>
      </c>
      <c r="E11">
        <v>1265</v>
      </c>
      <c r="F11">
        <v>19691</v>
      </c>
      <c r="G11">
        <f t="shared" si="0"/>
        <v>20956</v>
      </c>
      <c r="H11">
        <f>SUBTOTAL(109,Table3[[#This Row],[QTY]:[AMOUNT]])</f>
        <v>41912</v>
      </c>
    </row>
    <row r="12" spans="1:19" x14ac:dyDescent="0.3">
      <c r="A12" s="5">
        <v>43929</v>
      </c>
      <c r="B12" s="8" t="s">
        <v>51</v>
      </c>
      <c r="C12" t="s">
        <v>84</v>
      </c>
      <c r="D12" t="s">
        <v>87</v>
      </c>
      <c r="E12">
        <v>1162</v>
      </c>
      <c r="F12">
        <v>19457</v>
      </c>
      <c r="G12">
        <f t="shared" si="0"/>
        <v>20619</v>
      </c>
      <c r="H12">
        <f>SUBTOTAL(109,Table3[[#This Row],[QTY]:[AMOUNT]])</f>
        <v>41238</v>
      </c>
    </row>
    <row r="13" spans="1:19" x14ac:dyDescent="0.3">
      <c r="A13" s="5">
        <v>43930</v>
      </c>
      <c r="B13" s="8" t="s">
        <v>52</v>
      </c>
      <c r="C13" t="s">
        <v>86</v>
      </c>
      <c r="D13" t="s">
        <v>90</v>
      </c>
      <c r="E13">
        <v>2286</v>
      </c>
      <c r="F13">
        <v>21061</v>
      </c>
      <c r="G13">
        <f t="shared" si="0"/>
        <v>23347</v>
      </c>
      <c r="H13">
        <f>SUBTOTAL(109,Table3[[#This Row],[QTY]:[AMOUNT]])</f>
        <v>46694</v>
      </c>
    </row>
    <row r="14" spans="1:19" x14ac:dyDescent="0.3">
      <c r="A14" s="5">
        <v>43931</v>
      </c>
      <c r="B14" s="8" t="s">
        <v>53</v>
      </c>
      <c r="C14" t="s">
        <v>66</v>
      </c>
      <c r="D14" t="s">
        <v>91</v>
      </c>
      <c r="E14">
        <v>2405</v>
      </c>
      <c r="F14">
        <v>32436</v>
      </c>
      <c r="G14">
        <f t="shared" si="0"/>
        <v>34841</v>
      </c>
      <c r="H14">
        <f>SUBTOTAL(109,Table3[[#This Row],[QTY]:[AMOUNT]])</f>
        <v>69682</v>
      </c>
    </row>
    <row r="15" spans="1:19" x14ac:dyDescent="0.3">
      <c r="A15" s="5">
        <v>43932</v>
      </c>
      <c r="B15" s="8" t="s">
        <v>54</v>
      </c>
      <c r="C15" t="s">
        <v>85</v>
      </c>
      <c r="D15" t="s">
        <v>92</v>
      </c>
      <c r="E15">
        <v>764</v>
      </c>
      <c r="F15">
        <v>9651</v>
      </c>
      <c r="G15">
        <f t="shared" si="0"/>
        <v>10415</v>
      </c>
      <c r="H15">
        <f>SUBTOTAL(109,Table3[[#This Row],[QTY]:[AMOUNT]])</f>
        <v>20830</v>
      </c>
    </row>
    <row r="16" spans="1:19" x14ac:dyDescent="0.3">
      <c r="A16" s="5">
        <v>43933</v>
      </c>
      <c r="B16" s="8" t="s">
        <v>55</v>
      </c>
      <c r="C16" t="s">
        <v>86</v>
      </c>
      <c r="D16" t="s">
        <v>93</v>
      </c>
      <c r="E16">
        <v>1303</v>
      </c>
      <c r="F16">
        <v>35673</v>
      </c>
      <c r="G16">
        <f t="shared" si="0"/>
        <v>36976</v>
      </c>
      <c r="H16">
        <f>SUBTOTAL(109,Table3[[#This Row],[QTY]:[AMOUNT]])</f>
        <v>73952</v>
      </c>
    </row>
    <row r="17" spans="1:8" x14ac:dyDescent="0.3">
      <c r="A17" s="5">
        <v>43934</v>
      </c>
      <c r="B17" s="8" t="s">
        <v>56</v>
      </c>
      <c r="C17" t="s">
        <v>66</v>
      </c>
      <c r="D17" t="s">
        <v>90</v>
      </c>
      <c r="E17">
        <v>1252</v>
      </c>
      <c r="F17">
        <v>47339</v>
      </c>
      <c r="G17">
        <f t="shared" si="0"/>
        <v>48591</v>
      </c>
      <c r="H17">
        <f>SUBTOTAL(109,Table3[[#This Row],[QTY]:[AMOUNT]])</f>
        <v>97182</v>
      </c>
    </row>
    <row r="18" spans="1:8" x14ac:dyDescent="0.3">
      <c r="A18" s="5">
        <v>43935</v>
      </c>
      <c r="B18" s="8" t="s">
        <v>57</v>
      </c>
      <c r="C18" t="s">
        <v>85</v>
      </c>
      <c r="D18" t="s">
        <v>91</v>
      </c>
      <c r="E18">
        <v>1363</v>
      </c>
      <c r="F18">
        <v>14012</v>
      </c>
      <c r="G18">
        <f t="shared" si="0"/>
        <v>15375</v>
      </c>
      <c r="H18">
        <f>SUBTOTAL(109,Table3[[#This Row],[QTY]:[AMOUNT]])</f>
        <v>30750</v>
      </c>
    </row>
    <row r="19" spans="1:8" x14ac:dyDescent="0.3">
      <c r="A19" s="5">
        <v>43936</v>
      </c>
      <c r="B19" s="8" t="s">
        <v>58</v>
      </c>
      <c r="C19" t="s">
        <v>86</v>
      </c>
      <c r="D19" t="s">
        <v>90</v>
      </c>
      <c r="E19">
        <v>1479</v>
      </c>
      <c r="F19">
        <v>7563</v>
      </c>
      <c r="G19">
        <f t="shared" si="0"/>
        <v>9042</v>
      </c>
      <c r="H19">
        <f>SUBTOTAL(109,Table3[[#This Row],[QTY]:[AMOUNT]])</f>
        <v>18084</v>
      </c>
    </row>
    <row r="20" spans="1:8" x14ac:dyDescent="0.3">
      <c r="A20" s="5">
        <v>43937</v>
      </c>
      <c r="B20" s="8" t="s">
        <v>59</v>
      </c>
      <c r="C20" t="s">
        <v>84</v>
      </c>
      <c r="D20" t="s">
        <v>92</v>
      </c>
      <c r="E20">
        <v>2542</v>
      </c>
      <c r="F20">
        <v>34970</v>
      </c>
      <c r="G20">
        <f t="shared" si="0"/>
        <v>37512</v>
      </c>
      <c r="H20">
        <f>SUBTOTAL(109,Table3[[#This Row],[QTY]:[AMOUNT]])</f>
        <v>75024</v>
      </c>
    </row>
    <row r="21" spans="1:8" x14ac:dyDescent="0.3">
      <c r="A21" s="5">
        <v>43938</v>
      </c>
      <c r="B21" s="8" t="s">
        <v>60</v>
      </c>
      <c r="C21" t="s">
        <v>85</v>
      </c>
      <c r="D21" t="s">
        <v>93</v>
      </c>
      <c r="E21">
        <v>2674</v>
      </c>
      <c r="F21">
        <v>13975</v>
      </c>
      <c r="G21">
        <f t="shared" si="0"/>
        <v>16649</v>
      </c>
      <c r="H21">
        <f>SUBTOTAL(109,Table3[[#This Row],[QTY]:[AMOUNT]])</f>
        <v>33298</v>
      </c>
    </row>
    <row r="22" spans="1:8" x14ac:dyDescent="0.3">
      <c r="A22" s="5">
        <v>43939</v>
      </c>
      <c r="B22" s="8" t="s">
        <v>61</v>
      </c>
      <c r="C22" t="s">
        <v>66</v>
      </c>
      <c r="D22" t="s">
        <v>91</v>
      </c>
      <c r="E22">
        <v>1836</v>
      </c>
      <c r="F22">
        <v>4191</v>
      </c>
      <c r="G22">
        <f t="shared" si="0"/>
        <v>6027</v>
      </c>
      <c r="H22">
        <f>SUBTOTAL(109,Table3[[#This Row],[QTY]:[AMOUNT]])</f>
        <v>12054</v>
      </c>
    </row>
    <row r="23" spans="1:8" x14ac:dyDescent="0.3">
      <c r="A23" s="5">
        <v>43940</v>
      </c>
      <c r="B23" s="8" t="s">
        <v>62</v>
      </c>
      <c r="C23" t="s">
        <v>66</v>
      </c>
      <c r="D23" t="s">
        <v>92</v>
      </c>
      <c r="E23">
        <v>2875</v>
      </c>
      <c r="F23">
        <v>8270</v>
      </c>
      <c r="G23">
        <f t="shared" si="0"/>
        <v>11145</v>
      </c>
      <c r="H23">
        <f>SUBTOTAL(109,Table3[[#This Row],[QTY]:[AMOUNT]])</f>
        <v>22290</v>
      </c>
    </row>
    <row r="24" spans="1:8" x14ac:dyDescent="0.3">
      <c r="A24" s="5">
        <v>43941</v>
      </c>
      <c r="B24" s="8" t="s">
        <v>63</v>
      </c>
      <c r="C24" t="s">
        <v>84</v>
      </c>
      <c r="D24" t="s">
        <v>90</v>
      </c>
      <c r="E24">
        <v>2048</v>
      </c>
      <c r="F24">
        <v>29050</v>
      </c>
      <c r="G24">
        <f t="shared" si="0"/>
        <v>31098</v>
      </c>
      <c r="H24">
        <f>SUBTOTAL(109,Table3[[#This Row],[QTY]:[AMOUNT]])</f>
        <v>62196</v>
      </c>
    </row>
    <row r="25" spans="1:8" x14ac:dyDescent="0.3">
      <c r="A25" s="5">
        <v>43942</v>
      </c>
      <c r="B25" s="8" t="s">
        <v>64</v>
      </c>
      <c r="C25" t="s">
        <v>66</v>
      </c>
      <c r="D25" t="s">
        <v>93</v>
      </c>
      <c r="E25">
        <v>909</v>
      </c>
      <c r="F25">
        <v>3762</v>
      </c>
      <c r="G25">
        <f t="shared" si="0"/>
        <v>4671</v>
      </c>
      <c r="H25">
        <f>SUBTOTAL(109,Table3[[#This Row],[QTY]:[AMOUNT]])</f>
        <v>9342</v>
      </c>
    </row>
    <row r="26" spans="1:8" x14ac:dyDescent="0.3">
      <c r="A26" s="5">
        <v>43943</v>
      </c>
      <c r="B26" s="8" t="s">
        <v>65</v>
      </c>
      <c r="C26" t="s">
        <v>84</v>
      </c>
      <c r="D26" t="s">
        <v>91</v>
      </c>
      <c r="E26">
        <v>1060</v>
      </c>
      <c r="F26">
        <v>48561</v>
      </c>
      <c r="G26">
        <f t="shared" si="0"/>
        <v>49621</v>
      </c>
      <c r="H26">
        <f>SUBTOTAL(109,Table3[[#This Row],[QTY]:[AMOUNT]])</f>
        <v>99242</v>
      </c>
    </row>
    <row r="27" spans="1:8" x14ac:dyDescent="0.3">
      <c r="A27" s="5">
        <v>43944</v>
      </c>
      <c r="B27" s="8" t="s">
        <v>67</v>
      </c>
      <c r="C27" t="s">
        <v>85</v>
      </c>
      <c r="D27" t="s">
        <v>90</v>
      </c>
      <c r="E27">
        <v>1810</v>
      </c>
      <c r="F27">
        <v>37493</v>
      </c>
      <c r="G27">
        <f t="shared" si="0"/>
        <v>39303</v>
      </c>
      <c r="H27">
        <f>SUBTOTAL(109,Table3[[#This Row],[QTY]:[AMOUNT]])</f>
        <v>78606</v>
      </c>
    </row>
    <row r="28" spans="1:8" x14ac:dyDescent="0.3">
      <c r="A28" s="5">
        <v>43945</v>
      </c>
      <c r="B28" s="8" t="s">
        <v>68</v>
      </c>
      <c r="C28" t="s">
        <v>66</v>
      </c>
      <c r="D28" t="s">
        <v>92</v>
      </c>
      <c r="E28">
        <v>2174</v>
      </c>
      <c r="F28">
        <v>31994</v>
      </c>
      <c r="G28">
        <f t="shared" si="0"/>
        <v>34168</v>
      </c>
      <c r="H28">
        <f>SUBTOTAL(109,Table3[[#This Row],[QTY]:[AMOUNT]])</f>
        <v>68336</v>
      </c>
    </row>
    <row r="29" spans="1:8" x14ac:dyDescent="0.3">
      <c r="A29" s="5">
        <v>43946</v>
      </c>
      <c r="B29" s="8" t="s">
        <v>69</v>
      </c>
      <c r="C29" t="s">
        <v>86</v>
      </c>
      <c r="D29" t="s">
        <v>93</v>
      </c>
      <c r="E29">
        <v>729</v>
      </c>
      <c r="F29">
        <v>14355</v>
      </c>
      <c r="G29">
        <f t="shared" si="0"/>
        <v>15084</v>
      </c>
      <c r="H29">
        <f>SUBTOTAL(109,Table3[[#This Row],[QTY]:[AMOUNT]])</f>
        <v>30168</v>
      </c>
    </row>
    <row r="30" spans="1:8" x14ac:dyDescent="0.3">
      <c r="A30" s="5">
        <v>43947</v>
      </c>
      <c r="B30" s="8" t="s">
        <v>70</v>
      </c>
      <c r="C30" t="s">
        <v>84</v>
      </c>
      <c r="D30" t="s">
        <v>91</v>
      </c>
      <c r="E30">
        <v>553</v>
      </c>
      <c r="F30">
        <v>13860</v>
      </c>
      <c r="G30">
        <f t="shared" si="0"/>
        <v>14413</v>
      </c>
      <c r="H30">
        <f>SUBTOTAL(109,Table3[[#This Row],[QTY]:[AMOUNT]])</f>
        <v>28826</v>
      </c>
    </row>
    <row r="31" spans="1:8" ht="27.6" x14ac:dyDescent="0.3">
      <c r="A31" s="5">
        <v>43948</v>
      </c>
      <c r="B31" s="8" t="s">
        <v>71</v>
      </c>
      <c r="C31" t="s">
        <v>85</v>
      </c>
      <c r="D31" t="s">
        <v>92</v>
      </c>
      <c r="E31">
        <v>906</v>
      </c>
      <c r="F31">
        <v>15441</v>
      </c>
      <c r="G31">
        <f t="shared" si="0"/>
        <v>16347</v>
      </c>
      <c r="H31">
        <f>SUBTOTAL(109,Table3[[#This Row],[QTY]:[AMOUNT]])</f>
        <v>32694</v>
      </c>
    </row>
    <row r="32" spans="1:8" x14ac:dyDescent="0.3">
      <c r="A32" s="5">
        <v>43949</v>
      </c>
      <c r="B32" s="8" t="s">
        <v>72</v>
      </c>
      <c r="C32" t="s">
        <v>66</v>
      </c>
      <c r="D32" t="s">
        <v>90</v>
      </c>
      <c r="E32">
        <v>1894</v>
      </c>
      <c r="F32">
        <v>51331</v>
      </c>
      <c r="G32">
        <f t="shared" si="0"/>
        <v>53225</v>
      </c>
      <c r="H32">
        <f>SUBTOTAL(109,Table3[[#This Row],[QTY]:[AMOUNT]])</f>
        <v>106450</v>
      </c>
    </row>
    <row r="33" spans="1:8" x14ac:dyDescent="0.3">
      <c r="A33" s="5">
        <v>43950</v>
      </c>
      <c r="B33" s="8" t="s">
        <v>73</v>
      </c>
      <c r="C33" t="s">
        <v>86</v>
      </c>
      <c r="D33" t="s">
        <v>93</v>
      </c>
      <c r="E33">
        <v>2868</v>
      </c>
      <c r="F33">
        <v>26535</v>
      </c>
      <c r="G33">
        <f t="shared" si="0"/>
        <v>29403</v>
      </c>
      <c r="H33">
        <f>SUBTOTAL(109,Table3[[#This Row],[QTY]:[AMOUNT]])</f>
        <v>58806</v>
      </c>
    </row>
    <row r="34" spans="1:8" x14ac:dyDescent="0.3">
      <c r="A34" s="5">
        <v>43951</v>
      </c>
      <c r="B34" s="8" t="s">
        <v>74</v>
      </c>
      <c r="C34" t="s">
        <v>84</v>
      </c>
      <c r="D34" t="s">
        <v>91</v>
      </c>
      <c r="E34">
        <v>1617</v>
      </c>
      <c r="F34">
        <v>6554</v>
      </c>
      <c r="G34">
        <f t="shared" si="0"/>
        <v>8171</v>
      </c>
      <c r="H34">
        <f>SUBTOTAL(109,Table3[[#This Row],[QTY]:[AMOUNT]])</f>
        <v>16342</v>
      </c>
    </row>
    <row r="35" spans="1:8" x14ac:dyDescent="0.3">
      <c r="A35" s="5">
        <v>43952</v>
      </c>
      <c r="B35" s="8" t="s">
        <v>75</v>
      </c>
      <c r="C35" t="s">
        <v>86</v>
      </c>
      <c r="D35" t="s">
        <v>90</v>
      </c>
      <c r="E35">
        <v>1152</v>
      </c>
      <c r="F35">
        <v>1945</v>
      </c>
      <c r="G35">
        <f t="shared" si="0"/>
        <v>3097</v>
      </c>
      <c r="H35">
        <f>SUBTOTAL(109,Table3[[#This Row],[QTY]:[AMOUNT]])</f>
        <v>6194</v>
      </c>
    </row>
    <row r="36" spans="1:8" x14ac:dyDescent="0.3">
      <c r="A36" s="5">
        <v>43953</v>
      </c>
      <c r="B36" s="8" t="s">
        <v>76</v>
      </c>
      <c r="C36" t="s">
        <v>66</v>
      </c>
      <c r="D36" t="s">
        <v>92</v>
      </c>
      <c r="E36">
        <v>1913</v>
      </c>
      <c r="F36">
        <v>49345</v>
      </c>
      <c r="G36">
        <f t="shared" si="0"/>
        <v>51258</v>
      </c>
      <c r="H36">
        <f>SUBTOTAL(109,Table3[[#This Row],[QTY]:[AMOUNT]])</f>
        <v>102516</v>
      </c>
    </row>
    <row r="37" spans="1:8" x14ac:dyDescent="0.3">
      <c r="A37" s="5">
        <v>43954</v>
      </c>
      <c r="B37" s="8" t="s">
        <v>77</v>
      </c>
      <c r="C37" t="s">
        <v>85</v>
      </c>
      <c r="D37" t="s">
        <v>93</v>
      </c>
      <c r="E37">
        <v>1530</v>
      </c>
      <c r="F37">
        <v>27272</v>
      </c>
      <c r="G37">
        <f t="shared" si="0"/>
        <v>28802</v>
      </c>
      <c r="H37">
        <f>SUBTOTAL(109,Table3[[#This Row],[QTY]:[AMOUNT]])</f>
        <v>57604</v>
      </c>
    </row>
    <row r="38" spans="1:8" x14ac:dyDescent="0.3">
      <c r="A38" s="5">
        <v>43955</v>
      </c>
      <c r="B38" s="8" t="s">
        <v>78</v>
      </c>
      <c r="C38" t="s">
        <v>86</v>
      </c>
      <c r="D38" t="s">
        <v>91</v>
      </c>
      <c r="E38">
        <v>869</v>
      </c>
      <c r="F38">
        <v>3834</v>
      </c>
      <c r="G38">
        <f t="shared" si="0"/>
        <v>4703</v>
      </c>
      <c r="H38">
        <f>SUBTOTAL(109,Table3[[#This Row],[QTY]:[AMOUNT]])</f>
        <v>9406</v>
      </c>
    </row>
    <row r="39" spans="1:8" x14ac:dyDescent="0.3">
      <c r="A39" s="5">
        <v>43956</v>
      </c>
      <c r="B39" s="8" t="s">
        <v>79</v>
      </c>
      <c r="C39" t="s">
        <v>84</v>
      </c>
      <c r="D39" t="s">
        <v>92</v>
      </c>
      <c r="E39">
        <v>1920</v>
      </c>
      <c r="F39">
        <v>48173</v>
      </c>
      <c r="G39">
        <f t="shared" si="0"/>
        <v>50093</v>
      </c>
      <c r="H39">
        <f>SUBTOTAL(109,Table3[[#This Row],[QTY]:[AMOUNT]])</f>
        <v>100186</v>
      </c>
    </row>
    <row r="40" spans="1:8" x14ac:dyDescent="0.3">
      <c r="A40" s="5">
        <v>43957</v>
      </c>
      <c r="B40" s="8" t="s">
        <v>80</v>
      </c>
      <c r="C40" t="s">
        <v>66</v>
      </c>
      <c r="D40" t="s">
        <v>90</v>
      </c>
      <c r="E40">
        <v>1967</v>
      </c>
      <c r="F40">
        <v>32497</v>
      </c>
      <c r="G40">
        <f t="shared" si="0"/>
        <v>34464</v>
      </c>
      <c r="H40">
        <f>SUBTOTAL(109,Table3[[#This Row],[QTY]:[AMOUNT]])</f>
        <v>68928</v>
      </c>
    </row>
    <row r="41" spans="1:8" x14ac:dyDescent="0.3">
      <c r="A41" s="5">
        <v>43958</v>
      </c>
      <c r="B41" s="8" t="s">
        <v>81</v>
      </c>
      <c r="C41" t="s">
        <v>85</v>
      </c>
      <c r="D41" t="s">
        <v>93</v>
      </c>
      <c r="E41">
        <v>2902</v>
      </c>
      <c r="F41">
        <v>39197</v>
      </c>
      <c r="G41">
        <f t="shared" si="0"/>
        <v>42099</v>
      </c>
      <c r="H41">
        <f>SUBTOTAL(109,Table3[[#This Row],[QTY]:[AMOUNT]])</f>
        <v>84198</v>
      </c>
    </row>
    <row r="42" spans="1:8" x14ac:dyDescent="0.3">
      <c r="A42" s="5">
        <v>43959</v>
      </c>
      <c r="B42" s="8" t="s">
        <v>82</v>
      </c>
      <c r="C42" t="s">
        <v>66</v>
      </c>
      <c r="D42" t="s">
        <v>91</v>
      </c>
      <c r="E42">
        <v>1435</v>
      </c>
      <c r="F42">
        <v>47848</v>
      </c>
      <c r="G42">
        <f t="shared" si="0"/>
        <v>49283</v>
      </c>
      <c r="H42">
        <f>SUBTOTAL(109,Table3[[#This Row],[QTY]:[AMOUNT]])</f>
        <v>98566</v>
      </c>
    </row>
    <row r="43" spans="1:8" x14ac:dyDescent="0.3">
      <c r="A43" s="5">
        <v>43960</v>
      </c>
      <c r="B43" s="8" t="s">
        <v>83</v>
      </c>
      <c r="C43" t="s">
        <v>86</v>
      </c>
      <c r="D43" t="s">
        <v>90</v>
      </c>
      <c r="E43">
        <v>1561</v>
      </c>
      <c r="F43">
        <v>35701</v>
      </c>
      <c r="G43">
        <f t="shared" si="0"/>
        <v>37262</v>
      </c>
      <c r="H43">
        <f>SUBTOTAL(109,Table3[[#This Row],[QTY]:[AMOUNT]])</f>
        <v>74524</v>
      </c>
    </row>
    <row r="44" spans="1:8" x14ac:dyDescent="0.3">
      <c r="A44" s="5"/>
      <c r="B44" s="6"/>
    </row>
    <row r="45" spans="1:8" x14ac:dyDescent="0.3">
      <c r="A45" s="5"/>
      <c r="B45" s="6"/>
    </row>
    <row r="46" spans="1:8" x14ac:dyDescent="0.3">
      <c r="A46" s="5"/>
      <c r="B46" s="6"/>
    </row>
    <row r="47" spans="1:8" x14ac:dyDescent="0.3">
      <c r="A47" s="5"/>
    </row>
    <row r="48" spans="1:8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  <row r="56" spans="1:1" x14ac:dyDescent="0.3">
      <c r="A56" s="5"/>
    </row>
    <row r="57" spans="1:1" x14ac:dyDescent="0.3">
      <c r="A57" s="5"/>
    </row>
    <row r="58" spans="1:1" x14ac:dyDescent="0.3">
      <c r="A58" s="5"/>
    </row>
    <row r="59" spans="1:1" x14ac:dyDescent="0.3">
      <c r="A59" s="5"/>
    </row>
    <row r="60" spans="1:1" x14ac:dyDescent="0.3">
      <c r="A60" s="5"/>
    </row>
  </sheetData>
  <mergeCells count="1">
    <mergeCell ref="A1:S3"/>
  </mergeCells>
  <phoneticPr fontId="4" type="noConversion"/>
  <conditionalFormatting sqref="B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B43">
    <cfRule type="duplicateValues" dxfId="30" priority="1"/>
    <cfRule type="duplicateValues" dxfId="29" priority="3"/>
  </conditionalFormatting>
  <conditionalFormatting sqref="I26">
    <cfRule type="duplicateValues" dxfId="28" priority="4"/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835C-6D9E-463E-AE54-E44BAE11C256}">
  <sheetPr>
    <tabColor rgb="FFCFE2F3"/>
  </sheetPr>
  <dimension ref="A1:R22"/>
  <sheetViews>
    <sheetView workbookViewId="0">
      <selection activeCell="R4" sqref="R4"/>
    </sheetView>
  </sheetViews>
  <sheetFormatPr defaultRowHeight="14.4" x14ac:dyDescent="0.3"/>
  <cols>
    <col min="1" max="1" width="11.5546875" customWidth="1"/>
    <col min="4" max="4" width="9.5546875" customWidth="1"/>
    <col min="5" max="8" width="9.88671875" customWidth="1"/>
    <col min="9" max="10" width="9.21875" customWidth="1"/>
    <col min="11" max="11" width="10.5546875" customWidth="1"/>
  </cols>
  <sheetData>
    <row r="1" spans="1:18" ht="37.200000000000003" x14ac:dyDescent="0.75">
      <c r="A1" s="45"/>
      <c r="B1" s="45"/>
      <c r="C1" s="45"/>
      <c r="D1" s="46"/>
      <c r="E1" s="47" t="s">
        <v>260</v>
      </c>
      <c r="F1" s="46"/>
      <c r="G1" s="45"/>
      <c r="H1" s="45"/>
      <c r="I1" s="45"/>
      <c r="J1" s="45"/>
      <c r="K1" s="45"/>
    </row>
    <row r="2" spans="1:18" x14ac:dyDescent="0.3">
      <c r="A2" t="s">
        <v>96</v>
      </c>
      <c r="B2" t="s">
        <v>18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M2" s="16" t="s">
        <v>133</v>
      </c>
      <c r="P2" s="17" t="s">
        <v>134</v>
      </c>
    </row>
    <row r="3" spans="1:18" x14ac:dyDescent="0.3">
      <c r="A3">
        <v>101</v>
      </c>
      <c r="B3" t="s">
        <v>106</v>
      </c>
      <c r="C3" t="s">
        <v>126</v>
      </c>
      <c r="D3" t="s">
        <v>129</v>
      </c>
      <c r="E3">
        <v>55000</v>
      </c>
      <c r="F3">
        <v>48000</v>
      </c>
      <c r="G3">
        <v>52000</v>
      </c>
      <c r="H3">
        <v>45000</v>
      </c>
      <c r="I3">
        <v>200000</v>
      </c>
      <c r="J3">
        <v>25000</v>
      </c>
      <c r="K3">
        <v>5</v>
      </c>
      <c r="M3" t="s">
        <v>18</v>
      </c>
      <c r="N3" t="s">
        <v>104</v>
      </c>
      <c r="P3" t="s">
        <v>18</v>
      </c>
      <c r="Q3" t="s">
        <v>97</v>
      </c>
      <c r="R3" t="s">
        <v>135</v>
      </c>
    </row>
    <row r="4" spans="1:18" x14ac:dyDescent="0.3">
      <c r="A4">
        <v>102</v>
      </c>
      <c r="B4" t="s">
        <v>107</v>
      </c>
      <c r="C4" t="s">
        <v>126</v>
      </c>
      <c r="D4" t="s">
        <v>130</v>
      </c>
      <c r="E4">
        <v>42000</v>
      </c>
      <c r="F4">
        <v>40000</v>
      </c>
      <c r="G4">
        <v>35000</v>
      </c>
      <c r="H4">
        <v>30000</v>
      </c>
      <c r="I4">
        <v>150000</v>
      </c>
      <c r="J4">
        <v>22000</v>
      </c>
      <c r="K4">
        <v>4</v>
      </c>
      <c r="M4" t="s">
        <v>451</v>
      </c>
      <c r="N4">
        <f>DSUM(Table4[#All],Table4[[#Headers],[SALARY]],M3:M4)</f>
        <v>20000</v>
      </c>
      <c r="P4" t="s">
        <v>136</v>
      </c>
      <c r="Q4" t="s">
        <v>128</v>
      </c>
      <c r="R4">
        <f>DAVERAGE(Table4[#All],Table4[[#Headers],[SALARY]],P3:Q4)</f>
        <v>29000</v>
      </c>
    </row>
    <row r="5" spans="1:18" x14ac:dyDescent="0.3">
      <c r="A5">
        <v>103</v>
      </c>
      <c r="B5" t="s">
        <v>108</v>
      </c>
      <c r="C5" t="s">
        <v>127</v>
      </c>
      <c r="D5" t="s">
        <v>131</v>
      </c>
      <c r="E5">
        <v>23000</v>
      </c>
      <c r="F5">
        <v>21000</v>
      </c>
      <c r="G5">
        <v>22000</v>
      </c>
      <c r="H5">
        <v>20000</v>
      </c>
      <c r="I5">
        <v>90000</v>
      </c>
      <c r="J5">
        <v>20000</v>
      </c>
      <c r="K5">
        <v>3</v>
      </c>
    </row>
    <row r="6" spans="1:18" x14ac:dyDescent="0.3">
      <c r="A6">
        <v>104</v>
      </c>
      <c r="B6" t="s">
        <v>109</v>
      </c>
      <c r="C6" t="s">
        <v>128</v>
      </c>
      <c r="D6" t="s">
        <v>132</v>
      </c>
      <c r="E6">
        <v>70000</v>
      </c>
      <c r="F6">
        <v>62000</v>
      </c>
      <c r="G6">
        <v>65000</v>
      </c>
      <c r="H6">
        <v>60000</v>
      </c>
      <c r="I6">
        <v>250000</v>
      </c>
      <c r="J6">
        <v>30000</v>
      </c>
      <c r="K6">
        <v>6</v>
      </c>
    </row>
    <row r="7" spans="1:18" x14ac:dyDescent="0.3">
      <c r="A7">
        <v>105</v>
      </c>
      <c r="B7" t="s">
        <v>110</v>
      </c>
      <c r="C7" t="s">
        <v>126</v>
      </c>
      <c r="D7" t="s">
        <v>129</v>
      </c>
      <c r="E7">
        <v>54000</v>
      </c>
      <c r="F7">
        <v>53000</v>
      </c>
      <c r="G7">
        <v>52000</v>
      </c>
      <c r="H7">
        <v>50000</v>
      </c>
      <c r="I7">
        <v>210000</v>
      </c>
      <c r="J7">
        <v>26000</v>
      </c>
      <c r="K7">
        <v>5</v>
      </c>
      <c r="O7" s="17" t="s">
        <v>137</v>
      </c>
    </row>
    <row r="8" spans="1:18" x14ac:dyDescent="0.3">
      <c r="A8">
        <v>106</v>
      </c>
      <c r="B8" t="s">
        <v>111</v>
      </c>
      <c r="C8" t="s">
        <v>128</v>
      </c>
      <c r="D8" t="s">
        <v>130</v>
      </c>
      <c r="E8">
        <v>62000</v>
      </c>
      <c r="F8">
        <v>60000</v>
      </c>
      <c r="G8">
        <v>58000</v>
      </c>
      <c r="H8">
        <v>55000</v>
      </c>
      <c r="I8">
        <v>230000</v>
      </c>
      <c r="J8">
        <v>28000</v>
      </c>
      <c r="K8">
        <v>5</v>
      </c>
      <c r="O8" t="s">
        <v>18</v>
      </c>
      <c r="P8" t="s">
        <v>98</v>
      </c>
      <c r="Q8" t="s">
        <v>138</v>
      </c>
    </row>
    <row r="9" spans="1:18" x14ac:dyDescent="0.3">
      <c r="A9">
        <v>107</v>
      </c>
      <c r="B9" t="s">
        <v>112</v>
      </c>
      <c r="C9" t="s">
        <v>127</v>
      </c>
      <c r="D9" t="s">
        <v>132</v>
      </c>
      <c r="E9">
        <v>28000</v>
      </c>
      <c r="F9">
        <v>27000</v>
      </c>
      <c r="G9">
        <v>26000</v>
      </c>
      <c r="H9">
        <v>25000</v>
      </c>
      <c r="I9">
        <v>100000</v>
      </c>
      <c r="J9">
        <v>21000</v>
      </c>
      <c r="K9">
        <v>3</v>
      </c>
      <c r="O9" t="s">
        <v>139</v>
      </c>
      <c r="P9" t="s">
        <v>140</v>
      </c>
      <c r="Q9">
        <f>DCOUNT(Table4[#All],Table4[[#Headers],[SALARY]],O8:P9)</f>
        <v>1</v>
      </c>
    </row>
    <row r="10" spans="1:18" x14ac:dyDescent="0.3">
      <c r="A10">
        <v>108</v>
      </c>
      <c r="B10" t="s">
        <v>113</v>
      </c>
      <c r="C10" t="s">
        <v>126</v>
      </c>
      <c r="D10" t="s">
        <v>131</v>
      </c>
      <c r="E10">
        <v>45000</v>
      </c>
      <c r="F10">
        <v>43000</v>
      </c>
      <c r="G10">
        <v>42000</v>
      </c>
      <c r="H10">
        <v>40000</v>
      </c>
      <c r="I10">
        <v>170000</v>
      </c>
      <c r="J10">
        <v>24000</v>
      </c>
      <c r="K10">
        <v>4</v>
      </c>
    </row>
    <row r="11" spans="1:18" x14ac:dyDescent="0.3">
      <c r="A11">
        <v>109</v>
      </c>
      <c r="B11" t="s">
        <v>114</v>
      </c>
      <c r="C11" t="s">
        <v>128</v>
      </c>
      <c r="D11" t="s">
        <v>129</v>
      </c>
      <c r="E11">
        <v>68000</v>
      </c>
      <c r="F11">
        <v>66000</v>
      </c>
      <c r="G11">
        <v>64000</v>
      </c>
      <c r="H11">
        <v>62000</v>
      </c>
      <c r="I11">
        <v>260000</v>
      </c>
      <c r="J11">
        <v>29000</v>
      </c>
      <c r="K11">
        <v>5</v>
      </c>
    </row>
    <row r="12" spans="1:18" x14ac:dyDescent="0.3">
      <c r="A12">
        <v>110</v>
      </c>
      <c r="B12" t="s">
        <v>115</v>
      </c>
      <c r="C12" t="s">
        <v>127</v>
      </c>
      <c r="D12" t="s">
        <v>130</v>
      </c>
      <c r="E12">
        <v>25000</v>
      </c>
      <c r="F12">
        <v>24000</v>
      </c>
      <c r="G12">
        <v>23000</v>
      </c>
      <c r="H12">
        <v>22000</v>
      </c>
      <c r="I12">
        <v>95000</v>
      </c>
      <c r="J12">
        <v>21000</v>
      </c>
      <c r="K12">
        <v>3</v>
      </c>
      <c r="M12" s="17" t="s">
        <v>144</v>
      </c>
      <c r="P12" s="17" t="s">
        <v>141</v>
      </c>
    </row>
    <row r="13" spans="1:18" x14ac:dyDescent="0.3">
      <c r="A13">
        <v>111</v>
      </c>
      <c r="B13" t="s">
        <v>116</v>
      </c>
      <c r="C13" t="s">
        <v>126</v>
      </c>
      <c r="D13" t="s">
        <v>132</v>
      </c>
      <c r="E13">
        <v>52000</v>
      </c>
      <c r="F13">
        <v>51000</v>
      </c>
      <c r="G13">
        <v>50000</v>
      </c>
      <c r="H13">
        <v>48000</v>
      </c>
      <c r="I13">
        <v>200000</v>
      </c>
      <c r="J13">
        <v>27000</v>
      </c>
      <c r="K13">
        <v>5</v>
      </c>
      <c r="M13" t="s">
        <v>18</v>
      </c>
      <c r="N13" t="s">
        <v>97</v>
      </c>
      <c r="O13" t="s">
        <v>145</v>
      </c>
      <c r="P13" t="s">
        <v>18</v>
      </c>
      <c r="Q13" t="s">
        <v>97</v>
      </c>
      <c r="R13" t="s">
        <v>142</v>
      </c>
    </row>
    <row r="14" spans="1:18" x14ac:dyDescent="0.3">
      <c r="A14">
        <v>112</v>
      </c>
      <c r="B14" t="s">
        <v>117</v>
      </c>
      <c r="C14" t="s">
        <v>128</v>
      </c>
      <c r="D14" t="s">
        <v>131</v>
      </c>
      <c r="E14">
        <v>63000</v>
      </c>
      <c r="F14">
        <v>61000</v>
      </c>
      <c r="G14">
        <v>59000</v>
      </c>
      <c r="H14">
        <v>57000</v>
      </c>
      <c r="I14">
        <v>240000</v>
      </c>
      <c r="J14">
        <v>28500</v>
      </c>
      <c r="K14">
        <v>5</v>
      </c>
      <c r="M14" t="s">
        <v>146</v>
      </c>
      <c r="N14" t="s">
        <v>128</v>
      </c>
      <c r="O14">
        <f>DMIN(Table4[#All],Table4[[#Headers],[SALARY]],M13:N14)</f>
        <v>29500</v>
      </c>
      <c r="P14" t="s">
        <v>143</v>
      </c>
      <c r="Q14" t="s">
        <v>127</v>
      </c>
      <c r="R14">
        <f>DMAX(Table4[#All],Table4[[#Headers],[BONUS%]],P13:Q14)</f>
        <v>3</v>
      </c>
    </row>
    <row r="15" spans="1:18" x14ac:dyDescent="0.3">
      <c r="A15">
        <v>113</v>
      </c>
      <c r="B15" t="s">
        <v>118</v>
      </c>
      <c r="C15" t="s">
        <v>126</v>
      </c>
      <c r="D15" t="s">
        <v>129</v>
      </c>
      <c r="E15">
        <v>50000</v>
      </c>
      <c r="F15">
        <v>49000</v>
      </c>
      <c r="G15">
        <v>47000</v>
      </c>
      <c r="H15">
        <v>46000</v>
      </c>
      <c r="I15">
        <v>190000</v>
      </c>
      <c r="J15">
        <v>25500</v>
      </c>
      <c r="K15">
        <v>4</v>
      </c>
    </row>
    <row r="16" spans="1:18" x14ac:dyDescent="0.3">
      <c r="A16">
        <v>114</v>
      </c>
      <c r="B16" t="s">
        <v>119</v>
      </c>
      <c r="C16" t="s">
        <v>127</v>
      </c>
      <c r="D16" t="s">
        <v>132</v>
      </c>
      <c r="E16">
        <v>24000</v>
      </c>
      <c r="F16">
        <v>23000</v>
      </c>
      <c r="G16">
        <v>22000</v>
      </c>
      <c r="H16">
        <v>21000</v>
      </c>
      <c r="I16">
        <v>90000</v>
      </c>
      <c r="J16">
        <v>20500</v>
      </c>
      <c r="K16">
        <v>3</v>
      </c>
    </row>
    <row r="17" spans="1:18" x14ac:dyDescent="0.3">
      <c r="A17">
        <v>115</v>
      </c>
      <c r="B17" t="s">
        <v>120</v>
      </c>
      <c r="C17" t="s">
        <v>128</v>
      </c>
      <c r="D17" t="s">
        <v>130</v>
      </c>
      <c r="E17">
        <v>64000</v>
      </c>
      <c r="F17">
        <v>62000</v>
      </c>
      <c r="G17">
        <v>60000</v>
      </c>
      <c r="H17">
        <v>58000</v>
      </c>
      <c r="I17">
        <v>230000</v>
      </c>
      <c r="J17">
        <v>27500</v>
      </c>
      <c r="K17">
        <v>5</v>
      </c>
    </row>
    <row r="18" spans="1:18" x14ac:dyDescent="0.3">
      <c r="A18">
        <v>116</v>
      </c>
      <c r="B18" t="s">
        <v>121</v>
      </c>
      <c r="C18" t="s">
        <v>126</v>
      </c>
      <c r="D18" t="s">
        <v>131</v>
      </c>
      <c r="E18">
        <v>48000</v>
      </c>
      <c r="F18">
        <v>46000</v>
      </c>
      <c r="G18">
        <v>44000</v>
      </c>
      <c r="H18">
        <v>42000</v>
      </c>
      <c r="I18">
        <v>180000</v>
      </c>
      <c r="J18">
        <v>24500</v>
      </c>
      <c r="K18">
        <v>4</v>
      </c>
      <c r="Q18" t="s">
        <v>18</v>
      </c>
      <c r="R18" t="s">
        <v>104</v>
      </c>
    </row>
    <row r="19" spans="1:18" x14ac:dyDescent="0.3">
      <c r="A19">
        <v>117</v>
      </c>
      <c r="B19" t="s">
        <v>122</v>
      </c>
      <c r="C19" t="s">
        <v>127</v>
      </c>
      <c r="D19" t="s">
        <v>129</v>
      </c>
      <c r="E19">
        <v>26000</v>
      </c>
      <c r="F19">
        <v>25000</v>
      </c>
      <c r="G19">
        <v>24000</v>
      </c>
      <c r="H19">
        <v>23000</v>
      </c>
      <c r="I19">
        <v>100000</v>
      </c>
      <c r="J19">
        <v>21500</v>
      </c>
      <c r="K19">
        <v>3</v>
      </c>
      <c r="Q19" t="s">
        <v>106</v>
      </c>
      <c r="R19">
        <f>DSUM(Table4[#All],Table4[[#Headers],[SALARY]],Q18:Q19)</f>
        <v>25000</v>
      </c>
    </row>
    <row r="20" spans="1:18" x14ac:dyDescent="0.3">
      <c r="A20">
        <v>118</v>
      </c>
      <c r="B20" t="s">
        <v>123</v>
      </c>
      <c r="C20" t="s">
        <v>128</v>
      </c>
      <c r="D20" t="s">
        <v>132</v>
      </c>
      <c r="E20">
        <v>67000</v>
      </c>
      <c r="F20">
        <v>65000</v>
      </c>
      <c r="G20">
        <v>63000</v>
      </c>
      <c r="H20">
        <v>61000</v>
      </c>
      <c r="I20">
        <v>250000</v>
      </c>
      <c r="J20">
        <v>29500</v>
      </c>
      <c r="K20">
        <v>6</v>
      </c>
    </row>
    <row r="21" spans="1:18" x14ac:dyDescent="0.3">
      <c r="A21">
        <v>119</v>
      </c>
      <c r="B21" t="s">
        <v>124</v>
      </c>
      <c r="C21" t="s">
        <v>126</v>
      </c>
      <c r="D21" t="s">
        <v>130</v>
      </c>
      <c r="E21">
        <v>41000</v>
      </c>
      <c r="F21">
        <v>39000</v>
      </c>
      <c r="G21">
        <v>37000</v>
      </c>
      <c r="H21">
        <v>35000</v>
      </c>
      <c r="I21">
        <v>160000</v>
      </c>
      <c r="J21">
        <v>23500</v>
      </c>
      <c r="K21">
        <v>4</v>
      </c>
    </row>
    <row r="22" spans="1:18" x14ac:dyDescent="0.3">
      <c r="A22">
        <v>120</v>
      </c>
      <c r="B22" t="s">
        <v>125</v>
      </c>
      <c r="C22" t="s">
        <v>127</v>
      </c>
      <c r="D22" t="s">
        <v>131</v>
      </c>
      <c r="E22">
        <v>27000</v>
      </c>
      <c r="F22">
        <v>26000</v>
      </c>
      <c r="G22">
        <v>25000</v>
      </c>
      <c r="H22">
        <v>24000</v>
      </c>
      <c r="I22">
        <v>110000</v>
      </c>
      <c r="J22">
        <v>22000</v>
      </c>
      <c r="K22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E381-C971-41D5-80A3-FF2DE1574152}">
  <sheetPr>
    <tabColor rgb="FFD9D2E9"/>
  </sheetPr>
  <dimension ref="A1:K15"/>
  <sheetViews>
    <sheetView workbookViewId="0">
      <selection activeCell="C6" sqref="C6"/>
    </sheetView>
  </sheetViews>
  <sheetFormatPr defaultRowHeight="14.4" x14ac:dyDescent="0.3"/>
  <cols>
    <col min="2" max="2" width="10.109375" customWidth="1"/>
    <col min="7" max="7" width="10.5546875" customWidth="1"/>
    <col min="8" max="8" width="12.109375" customWidth="1"/>
    <col min="9" max="9" width="10.6640625" customWidth="1"/>
    <col min="10" max="10" width="9.5546875" customWidth="1"/>
  </cols>
  <sheetData>
    <row r="1" spans="1:11" x14ac:dyDescent="0.3">
      <c r="A1" s="4"/>
      <c r="C1" s="9" t="s">
        <v>147</v>
      </c>
      <c r="G1" s="10" t="s">
        <v>153</v>
      </c>
      <c r="K1" s="14" t="s">
        <v>148</v>
      </c>
    </row>
    <row r="2" spans="1:11" x14ac:dyDescent="0.3">
      <c r="B2" s="11" t="s">
        <v>149</v>
      </c>
      <c r="C2" s="11" t="s">
        <v>43</v>
      </c>
      <c r="G2" s="11" t="s">
        <v>149</v>
      </c>
      <c r="H2" s="11" t="s">
        <v>43</v>
      </c>
      <c r="J2" s="11" t="s">
        <v>149</v>
      </c>
      <c r="K2" s="11" t="s">
        <v>43</v>
      </c>
    </row>
    <row r="3" spans="1:11" x14ac:dyDescent="0.3">
      <c r="B3" s="12" t="s">
        <v>150</v>
      </c>
      <c r="C3">
        <v>10000</v>
      </c>
      <c r="G3" s="13" t="s">
        <v>150</v>
      </c>
      <c r="H3">
        <v>100000</v>
      </c>
      <c r="J3" t="s">
        <v>150</v>
      </c>
      <c r="K3">
        <v>35000</v>
      </c>
    </row>
    <row r="4" spans="1:11" x14ac:dyDescent="0.3">
      <c r="B4" s="12" t="s">
        <v>151</v>
      </c>
      <c r="C4">
        <v>5000</v>
      </c>
      <c r="G4" s="13" t="s">
        <v>151</v>
      </c>
      <c r="H4">
        <v>5500</v>
      </c>
      <c r="J4" t="s">
        <v>151</v>
      </c>
      <c r="K4">
        <v>7000</v>
      </c>
    </row>
    <row r="5" spans="1:11" x14ac:dyDescent="0.3">
      <c r="B5" s="12" t="s">
        <v>152</v>
      </c>
      <c r="C5">
        <v>2000</v>
      </c>
      <c r="G5" s="13" t="s">
        <v>152</v>
      </c>
      <c r="H5">
        <v>2500</v>
      </c>
      <c r="J5" t="s">
        <v>152</v>
      </c>
      <c r="K5">
        <v>8900</v>
      </c>
    </row>
    <row r="6" spans="1:11" x14ac:dyDescent="0.3">
      <c r="B6" s="12" t="s">
        <v>452</v>
      </c>
      <c r="C6">
        <v>1500</v>
      </c>
      <c r="G6" s="13" t="s">
        <v>452</v>
      </c>
      <c r="H6">
        <v>1800</v>
      </c>
      <c r="J6" t="s">
        <v>452</v>
      </c>
      <c r="K6">
        <v>2340</v>
      </c>
    </row>
    <row r="9" spans="1:11" x14ac:dyDescent="0.3">
      <c r="I9" s="15" t="s">
        <v>154</v>
      </c>
    </row>
    <row r="11" spans="1:11" x14ac:dyDescent="0.3">
      <c r="I11" t="s">
        <v>149</v>
      </c>
      <c r="J11" t="s">
        <v>43</v>
      </c>
    </row>
    <row r="12" spans="1:11" x14ac:dyDescent="0.3">
      <c r="I12" t="s">
        <v>150</v>
      </c>
      <c r="J12">
        <v>145000</v>
      </c>
    </row>
    <row r="13" spans="1:11" x14ac:dyDescent="0.3">
      <c r="I13" t="s">
        <v>151</v>
      </c>
      <c r="J13">
        <v>17500</v>
      </c>
    </row>
    <row r="14" spans="1:11" x14ac:dyDescent="0.3">
      <c r="I14" t="s">
        <v>152</v>
      </c>
      <c r="J14">
        <v>13400</v>
      </c>
    </row>
    <row r="15" spans="1:11" x14ac:dyDescent="0.3">
      <c r="I15" t="s">
        <v>452</v>
      </c>
      <c r="J15">
        <v>5640</v>
      </c>
    </row>
  </sheetData>
  <dataConsolidate>
    <dataRefs count="3">
      <dataRef ref="B6:C6" sheet="Consolidate"/>
      <dataRef ref="G6:H6" sheet="Consolidate"/>
      <dataRef ref="J6:K6" sheet="Consolidate"/>
    </dataRefs>
  </dataConsolidate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6600-A6DA-4D67-97D2-62A948FE65E7}">
  <sheetPr>
    <tabColor rgb="FFEAD1DC"/>
  </sheetPr>
  <dimension ref="A1:T31"/>
  <sheetViews>
    <sheetView topLeftCell="C6" workbookViewId="0">
      <selection activeCell="Q20" sqref="Q20"/>
    </sheetView>
  </sheetViews>
  <sheetFormatPr defaultRowHeight="14.4" x14ac:dyDescent="0.3"/>
  <cols>
    <col min="1" max="1" width="13.5546875" customWidth="1"/>
    <col min="2" max="2" width="13.88671875" customWidth="1"/>
    <col min="3" max="3" width="16.6640625" customWidth="1"/>
    <col min="4" max="4" width="11" customWidth="1"/>
    <col min="5" max="5" width="11.21875" customWidth="1"/>
    <col min="6" max="6" width="14.109375" customWidth="1"/>
    <col min="7" max="7" width="11.88671875" customWidth="1"/>
    <col min="15" max="15" width="9.44140625" customWidth="1"/>
    <col min="16" max="16" width="11.5546875" customWidth="1"/>
    <col min="17" max="17" width="13.5546875" customWidth="1"/>
    <col min="18" max="18" width="11.77734375" customWidth="1"/>
  </cols>
  <sheetData>
    <row r="1" spans="1:20" x14ac:dyDescent="0.3">
      <c r="A1" t="s">
        <v>156</v>
      </c>
      <c r="B1" t="s">
        <v>0</v>
      </c>
      <c r="C1" t="s">
        <v>157</v>
      </c>
      <c r="D1" t="s">
        <v>158</v>
      </c>
      <c r="E1" t="s">
        <v>159</v>
      </c>
      <c r="F1" t="s">
        <v>160</v>
      </c>
      <c r="G1" t="s">
        <v>96</v>
      </c>
    </row>
    <row r="2" spans="1:20" x14ac:dyDescent="0.3">
      <c r="A2" t="s">
        <v>161</v>
      </c>
      <c r="B2" t="s">
        <v>162</v>
      </c>
      <c r="C2" t="s">
        <v>126</v>
      </c>
      <c r="D2">
        <v>45000</v>
      </c>
      <c r="E2">
        <v>24</v>
      </c>
      <c r="F2" t="s">
        <v>163</v>
      </c>
      <c r="G2">
        <v>1001</v>
      </c>
    </row>
    <row r="3" spans="1:20" x14ac:dyDescent="0.3">
      <c r="A3" t="s">
        <v>164</v>
      </c>
      <c r="B3" t="s">
        <v>165</v>
      </c>
      <c r="C3" t="s">
        <v>127</v>
      </c>
      <c r="D3">
        <v>40000</v>
      </c>
      <c r="E3">
        <v>26</v>
      </c>
      <c r="F3" t="s">
        <v>166</v>
      </c>
      <c r="G3">
        <v>1002</v>
      </c>
    </row>
    <row r="4" spans="1:20" x14ac:dyDescent="0.3">
      <c r="A4" t="s">
        <v>167</v>
      </c>
      <c r="B4" t="s">
        <v>168</v>
      </c>
      <c r="C4" t="s">
        <v>128</v>
      </c>
      <c r="D4">
        <v>60000</v>
      </c>
      <c r="E4">
        <v>25</v>
      </c>
      <c r="F4" t="s">
        <v>169</v>
      </c>
      <c r="G4">
        <v>1003</v>
      </c>
    </row>
    <row r="5" spans="1:20" x14ac:dyDescent="0.3">
      <c r="A5" t="s">
        <v>170</v>
      </c>
      <c r="B5" t="s">
        <v>171</v>
      </c>
      <c r="C5" t="s">
        <v>172</v>
      </c>
      <c r="D5">
        <v>55000</v>
      </c>
      <c r="E5">
        <v>27</v>
      </c>
      <c r="F5" t="s">
        <v>173</v>
      </c>
      <c r="G5">
        <v>1004</v>
      </c>
    </row>
    <row r="6" spans="1:20" x14ac:dyDescent="0.3">
      <c r="A6" t="s">
        <v>174</v>
      </c>
      <c r="B6" t="s">
        <v>175</v>
      </c>
      <c r="C6" t="s">
        <v>126</v>
      </c>
      <c r="D6">
        <v>48000</v>
      </c>
      <c r="E6">
        <v>23</v>
      </c>
      <c r="F6" t="s">
        <v>176</v>
      </c>
      <c r="G6">
        <v>1005</v>
      </c>
    </row>
    <row r="7" spans="1:20" x14ac:dyDescent="0.3">
      <c r="A7" t="s">
        <v>177</v>
      </c>
      <c r="B7" t="s">
        <v>178</v>
      </c>
      <c r="C7" t="s">
        <v>128</v>
      </c>
      <c r="D7">
        <v>62000</v>
      </c>
      <c r="E7">
        <v>28</v>
      </c>
      <c r="F7" t="s">
        <v>179</v>
      </c>
      <c r="G7">
        <v>1006</v>
      </c>
    </row>
    <row r="8" spans="1:20" x14ac:dyDescent="0.3">
      <c r="A8" t="s">
        <v>180</v>
      </c>
      <c r="B8" t="s">
        <v>181</v>
      </c>
      <c r="C8" t="s">
        <v>127</v>
      </c>
      <c r="D8">
        <v>42000</v>
      </c>
      <c r="E8">
        <v>24</v>
      </c>
      <c r="F8" t="s">
        <v>163</v>
      </c>
      <c r="G8">
        <v>1007</v>
      </c>
    </row>
    <row r="9" spans="1:20" x14ac:dyDescent="0.3">
      <c r="A9" t="s">
        <v>182</v>
      </c>
      <c r="B9" t="s">
        <v>183</v>
      </c>
      <c r="C9" t="s">
        <v>172</v>
      </c>
      <c r="D9">
        <v>53000</v>
      </c>
      <c r="E9">
        <v>29</v>
      </c>
      <c r="F9" t="s">
        <v>166</v>
      </c>
      <c r="G9">
        <v>1008</v>
      </c>
      <c r="O9" s="18" t="s">
        <v>226</v>
      </c>
    </row>
    <row r="10" spans="1:20" x14ac:dyDescent="0.3">
      <c r="A10" t="s">
        <v>184</v>
      </c>
      <c r="B10" t="s">
        <v>107</v>
      </c>
      <c r="C10" t="s">
        <v>128</v>
      </c>
      <c r="D10">
        <v>61000</v>
      </c>
      <c r="E10">
        <v>26</v>
      </c>
      <c r="F10" t="s">
        <v>169</v>
      </c>
      <c r="G10">
        <v>1009</v>
      </c>
      <c r="O10" s="4" t="s">
        <v>96</v>
      </c>
      <c r="P10" t="s">
        <v>18</v>
      </c>
      <c r="Q10" t="s">
        <v>227</v>
      </c>
      <c r="R10" t="s">
        <v>104</v>
      </c>
      <c r="S10" t="s">
        <v>228</v>
      </c>
      <c r="T10" t="s">
        <v>229</v>
      </c>
    </row>
    <row r="11" spans="1:20" x14ac:dyDescent="0.3">
      <c r="A11" t="s">
        <v>185</v>
      </c>
      <c r="B11" t="s">
        <v>113</v>
      </c>
      <c r="C11" t="s">
        <v>126</v>
      </c>
      <c r="D11">
        <v>47000</v>
      </c>
      <c r="E11">
        <v>25</v>
      </c>
      <c r="F11" t="s">
        <v>173</v>
      </c>
      <c r="G11">
        <v>1010</v>
      </c>
      <c r="I11" s="29" t="s">
        <v>224</v>
      </c>
      <c r="O11">
        <v>1005</v>
      </c>
      <c r="P11" t="str" cm="1">
        <f t="array" ref="P11">_xlfn.XLOOKUP(O11,Table5[[#All],[EMP CODE]],Table5[[#All],[Name]])</f>
        <v>Ishaan</v>
      </c>
      <c r="Q11" t="str">
        <f>_xlfn.XLOOKUP(O11,Table5[EMP CODE],Table5[Department])</f>
        <v>Sales</v>
      </c>
      <c r="R11">
        <f>_xlfn.XLOOKUP(O11,Table5[EMP CODE],Table5[Salary])</f>
        <v>48000</v>
      </c>
      <c r="S11">
        <f>_xlfn.XLOOKUP(O11,Table5[EMP CODE],Table5[Age])</f>
        <v>23</v>
      </c>
      <c r="T11" t="str">
        <f>_xlfn.XLOOKUP(O11,Table5[EMP CODE],Table5[City])</f>
        <v>Kolkata</v>
      </c>
    </row>
    <row r="12" spans="1:20" x14ac:dyDescent="0.3">
      <c r="A12" t="s">
        <v>186</v>
      </c>
      <c r="B12" t="s">
        <v>187</v>
      </c>
      <c r="C12" t="s">
        <v>127</v>
      </c>
      <c r="D12">
        <v>41000</v>
      </c>
      <c r="E12">
        <v>23</v>
      </c>
      <c r="F12" t="s">
        <v>176</v>
      </c>
      <c r="G12">
        <v>1011</v>
      </c>
      <c r="I12">
        <v>55000</v>
      </c>
      <c r="J12" t="str">
        <f>INDEX(Table5[#All],5,2)</f>
        <v>Krishna</v>
      </c>
      <c r="N12" s="18" t="s">
        <v>231</v>
      </c>
    </row>
    <row r="13" spans="1:20" x14ac:dyDescent="0.3">
      <c r="A13" t="s">
        <v>188</v>
      </c>
      <c r="B13" t="s">
        <v>120</v>
      </c>
      <c r="C13" t="s">
        <v>172</v>
      </c>
      <c r="D13">
        <v>56000</v>
      </c>
      <c r="E13">
        <v>30</v>
      </c>
      <c r="F13" t="s">
        <v>179</v>
      </c>
      <c r="G13">
        <v>1012</v>
      </c>
      <c r="N13" t="s">
        <v>18</v>
      </c>
      <c r="O13" t="s">
        <v>228</v>
      </c>
    </row>
    <row r="14" spans="1:20" x14ac:dyDescent="0.3">
      <c r="A14" t="s">
        <v>189</v>
      </c>
      <c r="B14" t="s">
        <v>190</v>
      </c>
      <c r="C14" t="s">
        <v>128</v>
      </c>
      <c r="D14">
        <v>63000</v>
      </c>
      <c r="E14">
        <v>27</v>
      </c>
      <c r="F14" t="s">
        <v>163</v>
      </c>
      <c r="G14">
        <v>1013</v>
      </c>
      <c r="N14" t="s">
        <v>230</v>
      </c>
      <c r="O14">
        <f>VLOOKUP(N14,Table5[[#All],[Name]:[EMP CODE]],4,FALSE)</f>
        <v>25</v>
      </c>
    </row>
    <row r="15" spans="1:20" x14ac:dyDescent="0.3">
      <c r="A15" t="s">
        <v>191</v>
      </c>
      <c r="B15" t="s">
        <v>111</v>
      </c>
      <c r="C15" t="s">
        <v>126</v>
      </c>
      <c r="D15">
        <v>49000</v>
      </c>
      <c r="E15">
        <v>26</v>
      </c>
      <c r="F15" t="s">
        <v>166</v>
      </c>
      <c r="G15">
        <v>1014</v>
      </c>
      <c r="H15" s="15"/>
      <c r="I15" s="25" t="s">
        <v>225</v>
      </c>
      <c r="J15" s="15"/>
      <c r="P15" s="26"/>
      <c r="Q15" s="27" t="s">
        <v>234</v>
      </c>
      <c r="R15" s="26"/>
    </row>
    <row r="16" spans="1:20" x14ac:dyDescent="0.3">
      <c r="A16" t="s">
        <v>192</v>
      </c>
      <c r="B16" t="s">
        <v>193</v>
      </c>
      <c r="C16" t="s">
        <v>127</v>
      </c>
      <c r="D16">
        <v>43000</v>
      </c>
      <c r="E16">
        <v>24</v>
      </c>
      <c r="F16" t="s">
        <v>169</v>
      </c>
      <c r="G16">
        <v>1015</v>
      </c>
      <c r="P16" s="28" t="s">
        <v>235</v>
      </c>
      <c r="Q16" s="28" t="s">
        <v>18</v>
      </c>
      <c r="R16" s="28" t="s">
        <v>104</v>
      </c>
    </row>
    <row r="17" spans="1:18" x14ac:dyDescent="0.3">
      <c r="A17" t="s">
        <v>194</v>
      </c>
      <c r="B17" t="s">
        <v>195</v>
      </c>
      <c r="C17" t="s">
        <v>172</v>
      </c>
      <c r="D17">
        <v>54000</v>
      </c>
      <c r="E17">
        <v>28</v>
      </c>
      <c r="F17" t="s">
        <v>173</v>
      </c>
      <c r="G17">
        <v>1016</v>
      </c>
      <c r="I17" t="s">
        <v>104</v>
      </c>
      <c r="J17" t="s">
        <v>18</v>
      </c>
      <c r="P17">
        <v>1017</v>
      </c>
      <c r="Q17" t="str">
        <f>VLOOKUP(P17,CHOOSE({1,2},Table5[EMP CODE],Table5[Name]),2,0)</f>
        <v>Harsh</v>
      </c>
      <c r="R17">
        <f>VLOOKUP(P17,CHOOSE({1,2},Table5[EMP CODE],Table5[Salary]),2,0)</f>
        <v>64000</v>
      </c>
    </row>
    <row r="18" spans="1:18" x14ac:dyDescent="0.3">
      <c r="A18" t="s">
        <v>196</v>
      </c>
      <c r="B18" t="s">
        <v>197</v>
      </c>
      <c r="C18" t="s">
        <v>128</v>
      </c>
      <c r="D18">
        <v>64000</v>
      </c>
      <c r="E18">
        <v>29</v>
      </c>
      <c r="F18" t="s">
        <v>176</v>
      </c>
      <c r="G18">
        <v>1017</v>
      </c>
      <c r="I18">
        <v>64000</v>
      </c>
      <c r="J18" t="str">
        <f>INDEX(Table5[#All],MATCH(I18,Table5[[#All],[Salary]],0),1)</f>
        <v>E117</v>
      </c>
      <c r="P18">
        <v>1018</v>
      </c>
      <c r="Q18" t="str">
        <f>VLOOKUP(P18,CHOOSE({1,2},Table5[EMP CODE],Table5[Name]),2,0)</f>
        <v>Nikhil</v>
      </c>
      <c r="R18">
        <f>VLOOKUP(P18,CHOOSE({1,2},Table5[EMP CODE],Table5[Salary]),2,0)</f>
        <v>50000</v>
      </c>
    </row>
    <row r="19" spans="1:18" x14ac:dyDescent="0.3">
      <c r="A19" t="s">
        <v>198</v>
      </c>
      <c r="B19" t="s">
        <v>199</v>
      </c>
      <c r="C19" t="s">
        <v>126</v>
      </c>
      <c r="D19">
        <v>50000</v>
      </c>
      <c r="E19">
        <v>27</v>
      </c>
      <c r="F19" t="s">
        <v>179</v>
      </c>
      <c r="G19">
        <v>1018</v>
      </c>
      <c r="P19">
        <v>1019</v>
      </c>
      <c r="Q19" t="str">
        <f>VLOOKUP(P19,CHOOSE({1,2},Table5[EMP CODE],Table5[Name]),2,0)</f>
        <v>Tanmay</v>
      </c>
      <c r="R19">
        <f>VLOOKUP(P19,CHOOSE({1,2},Table5[EMP CODE],Table5[Salary]),2,0)</f>
        <v>44000</v>
      </c>
    </row>
    <row r="20" spans="1:18" x14ac:dyDescent="0.3">
      <c r="A20" t="s">
        <v>200</v>
      </c>
      <c r="B20" t="s">
        <v>201</v>
      </c>
      <c r="C20" t="s">
        <v>127</v>
      </c>
      <c r="D20">
        <v>44000</v>
      </c>
      <c r="E20">
        <v>25</v>
      </c>
      <c r="F20" t="s">
        <v>163</v>
      </c>
      <c r="G20">
        <v>1019</v>
      </c>
      <c r="P20">
        <v>1020</v>
      </c>
      <c r="Q20" t="str">
        <f>VLOOKUP(P20,CHOOSE({1,2},Table5[EMP CODE],Table5[Name]),2,0)</f>
        <v>Siddharth</v>
      </c>
      <c r="R20">
        <f>VLOOKUP(P20,CHOOSE({1,2},Table5[EMP CODE],Table5[Salary]),2,0)</f>
        <v>57000</v>
      </c>
    </row>
    <row r="21" spans="1:18" x14ac:dyDescent="0.3">
      <c r="A21" t="s">
        <v>202</v>
      </c>
      <c r="B21" t="s">
        <v>203</v>
      </c>
      <c r="C21" t="s">
        <v>172</v>
      </c>
      <c r="D21">
        <v>57000</v>
      </c>
      <c r="E21">
        <v>31</v>
      </c>
      <c r="F21" t="s">
        <v>166</v>
      </c>
      <c r="G21">
        <v>1020</v>
      </c>
      <c r="P21">
        <v>1021</v>
      </c>
      <c r="Q21" t="str">
        <f>VLOOKUP(P21,CHOOSE({1,2},Table5[EMP CODE],Table5[Name]),2,0)</f>
        <v>Parth</v>
      </c>
      <c r="R21">
        <f>VLOOKUP(P21,CHOOSE({1,2},Table5[EMP CODE],Table5[Salary]),2,0)</f>
        <v>65000</v>
      </c>
    </row>
    <row r="22" spans="1:18" x14ac:dyDescent="0.3">
      <c r="A22" t="s">
        <v>204</v>
      </c>
      <c r="B22" t="s">
        <v>205</v>
      </c>
      <c r="C22" t="s">
        <v>128</v>
      </c>
      <c r="D22">
        <v>65000</v>
      </c>
      <c r="E22">
        <v>28</v>
      </c>
      <c r="F22" t="s">
        <v>169</v>
      </c>
      <c r="G22">
        <v>1021</v>
      </c>
      <c r="P22">
        <v>1022</v>
      </c>
      <c r="Q22" t="str">
        <f>VLOOKUP(P22,CHOOSE({1,2},Table5[EMP CODE],Table5[Name]),2,0)</f>
        <v>Ritvik</v>
      </c>
      <c r="R22">
        <f>VLOOKUP(P22,CHOOSE({1,2},Table5[EMP CODE],Table5[Salary]),2,0)</f>
        <v>46000</v>
      </c>
    </row>
    <row r="23" spans="1:18" x14ac:dyDescent="0.3">
      <c r="A23" t="s">
        <v>206</v>
      </c>
      <c r="B23" t="s">
        <v>207</v>
      </c>
      <c r="C23" t="s">
        <v>126</v>
      </c>
      <c r="D23">
        <v>46000</v>
      </c>
      <c r="E23">
        <v>24</v>
      </c>
      <c r="F23" t="s">
        <v>173</v>
      </c>
      <c r="G23">
        <v>1022</v>
      </c>
      <c r="P23">
        <v>1023</v>
      </c>
      <c r="Q23" t="str">
        <f>VLOOKUP(P23,CHOOSE({1,2},Table5[EMP CODE],Table5[Name]),2,0)</f>
        <v>Atharv</v>
      </c>
      <c r="R23">
        <f>VLOOKUP(P23,CHOOSE({1,2},Table5[EMP CODE],Table5[Salary]),2,0)</f>
        <v>45000</v>
      </c>
    </row>
    <row r="24" spans="1:18" x14ac:dyDescent="0.3">
      <c r="A24" t="s">
        <v>208</v>
      </c>
      <c r="B24" t="s">
        <v>209</v>
      </c>
      <c r="C24" t="s">
        <v>127</v>
      </c>
      <c r="D24">
        <v>45000</v>
      </c>
      <c r="E24">
        <v>26</v>
      </c>
      <c r="F24" t="s">
        <v>176</v>
      </c>
      <c r="G24">
        <v>1023</v>
      </c>
      <c r="P24">
        <v>1024</v>
      </c>
      <c r="Q24" t="str">
        <f>VLOOKUP(P24,CHOOSE({1,2},Table5[EMP CODE],Table5[Name]),2,0)</f>
        <v>Dhruv</v>
      </c>
      <c r="R24">
        <f>VLOOKUP(P24,CHOOSE({1,2},Table5[EMP CODE],Table5[Salary]),2,0)</f>
        <v>58000</v>
      </c>
    </row>
    <row r="25" spans="1:18" x14ac:dyDescent="0.3">
      <c r="A25" t="s">
        <v>210</v>
      </c>
      <c r="B25" t="s">
        <v>211</v>
      </c>
      <c r="C25" t="s">
        <v>172</v>
      </c>
      <c r="D25">
        <v>58000</v>
      </c>
      <c r="E25">
        <v>29</v>
      </c>
      <c r="F25" t="s">
        <v>179</v>
      </c>
      <c r="G25">
        <v>1024</v>
      </c>
      <c r="P25">
        <v>1025</v>
      </c>
      <c r="Q25" t="str">
        <f>VLOOKUP(P25,CHOOSE({1,2},Table5[EMP CODE],Table5[Name]),2,0)</f>
        <v>Vihaan</v>
      </c>
      <c r="R25">
        <f>VLOOKUP(P25,CHOOSE({1,2},Table5[EMP CODE],Table5[Salary]),2,0)</f>
        <v>66000</v>
      </c>
    </row>
    <row r="26" spans="1:18" x14ac:dyDescent="0.3">
      <c r="A26" t="s">
        <v>212</v>
      </c>
      <c r="B26" t="s">
        <v>213</v>
      </c>
      <c r="C26" t="s">
        <v>128</v>
      </c>
      <c r="D26">
        <v>66000</v>
      </c>
      <c r="E26">
        <v>30</v>
      </c>
      <c r="F26" t="s">
        <v>163</v>
      </c>
      <c r="G26">
        <v>1025</v>
      </c>
      <c r="P26">
        <v>1026</v>
      </c>
      <c r="Q26" t="str">
        <f>VLOOKUP(P26,CHOOSE({1,2},Table5[EMP CODE],Table5[Name]),2,0)</f>
        <v>Samar</v>
      </c>
      <c r="R26">
        <f>VLOOKUP(P26,CHOOSE({1,2},Table5[EMP CODE],Table5[Salary]),2,0)</f>
        <v>47000</v>
      </c>
    </row>
    <row r="27" spans="1:18" x14ac:dyDescent="0.3">
      <c r="A27" t="s">
        <v>214</v>
      </c>
      <c r="B27" t="s">
        <v>215</v>
      </c>
      <c r="C27" t="s">
        <v>126</v>
      </c>
      <c r="D27">
        <v>47000</v>
      </c>
      <c r="E27">
        <v>25</v>
      </c>
      <c r="F27" t="s">
        <v>166</v>
      </c>
      <c r="G27">
        <v>1026</v>
      </c>
      <c r="P27">
        <v>1027</v>
      </c>
      <c r="Q27" t="str">
        <f>VLOOKUP(P27,CHOOSE({1,2},Table5[EMP CODE],Table5[Name]),2,0)</f>
        <v>Keshav</v>
      </c>
      <c r="R27">
        <f>VLOOKUP(P27,CHOOSE({1,2},Table5[EMP CODE],Table5[Salary]),2,0)</f>
        <v>46000</v>
      </c>
    </row>
    <row r="28" spans="1:18" x14ac:dyDescent="0.3">
      <c r="A28" t="s">
        <v>216</v>
      </c>
      <c r="B28" t="s">
        <v>217</v>
      </c>
      <c r="C28" t="s">
        <v>127</v>
      </c>
      <c r="D28">
        <v>46000</v>
      </c>
      <c r="E28">
        <v>27</v>
      </c>
      <c r="F28" t="s">
        <v>169</v>
      </c>
      <c r="G28">
        <v>1027</v>
      </c>
      <c r="P28">
        <v>1028</v>
      </c>
      <c r="Q28" t="str">
        <f>VLOOKUP(P28,CHOOSE({1,2},Table5[EMP CODE],Table5[Name]),2,0)</f>
        <v>Ayush</v>
      </c>
      <c r="R28">
        <f>VLOOKUP(P28,CHOOSE({1,2},Table5[EMP CODE],Table5[Salary]),2,0)</f>
        <v>59000</v>
      </c>
    </row>
    <row r="29" spans="1:18" x14ac:dyDescent="0.3">
      <c r="A29" t="s">
        <v>218</v>
      </c>
      <c r="B29" t="s">
        <v>219</v>
      </c>
      <c r="C29" t="s">
        <v>172</v>
      </c>
      <c r="D29">
        <v>59000</v>
      </c>
      <c r="E29">
        <v>32</v>
      </c>
      <c r="F29" t="s">
        <v>173</v>
      </c>
      <c r="G29">
        <v>1028</v>
      </c>
    </row>
    <row r="30" spans="1:18" x14ac:dyDescent="0.3">
      <c r="A30" t="s">
        <v>220</v>
      </c>
      <c r="B30" t="s">
        <v>221</v>
      </c>
      <c r="C30" t="s">
        <v>128</v>
      </c>
      <c r="D30">
        <v>67000</v>
      </c>
      <c r="E30">
        <v>31</v>
      </c>
      <c r="F30" t="s">
        <v>176</v>
      </c>
      <c r="G30">
        <v>1029</v>
      </c>
    </row>
    <row r="31" spans="1:18" x14ac:dyDescent="0.3">
      <c r="A31" t="s">
        <v>222</v>
      </c>
      <c r="B31" t="s">
        <v>223</v>
      </c>
      <c r="C31" t="s">
        <v>126</v>
      </c>
      <c r="D31">
        <v>48000</v>
      </c>
      <c r="E31">
        <v>26</v>
      </c>
      <c r="F31" t="s">
        <v>179</v>
      </c>
      <c r="G31">
        <v>1030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EBFD-4DED-4372-9A83-6E5DB8D0AB2A}">
  <sheetPr>
    <tabColor rgb="FFF4CCCC"/>
  </sheetPr>
  <dimension ref="A1:AE10"/>
  <sheetViews>
    <sheetView workbookViewId="0">
      <selection activeCell="M10" sqref="M10"/>
    </sheetView>
  </sheetViews>
  <sheetFormatPr defaultRowHeight="14.4" x14ac:dyDescent="0.3"/>
  <sheetData>
    <row r="1" spans="1:31" x14ac:dyDescent="0.3">
      <c r="A1" s="19" t="s">
        <v>0</v>
      </c>
      <c r="B1" s="21" t="s">
        <v>162</v>
      </c>
      <c r="C1" s="23" t="s">
        <v>165</v>
      </c>
      <c r="D1" s="21" t="s">
        <v>168</v>
      </c>
      <c r="E1" s="23" t="s">
        <v>171</v>
      </c>
      <c r="F1" s="21" t="s">
        <v>175</v>
      </c>
      <c r="G1" s="23" t="s">
        <v>178</v>
      </c>
      <c r="H1" s="21" t="s">
        <v>181</v>
      </c>
      <c r="I1" s="23" t="s">
        <v>183</v>
      </c>
      <c r="J1" s="21" t="s">
        <v>107</v>
      </c>
      <c r="K1" s="23" t="s">
        <v>113</v>
      </c>
      <c r="L1" s="21" t="s">
        <v>187</v>
      </c>
      <c r="M1" s="23" t="s">
        <v>120</v>
      </c>
      <c r="N1" s="21" t="s">
        <v>190</v>
      </c>
      <c r="O1" s="23" t="s">
        <v>111</v>
      </c>
      <c r="P1" s="21" t="s">
        <v>193</v>
      </c>
      <c r="Q1" s="23" t="s">
        <v>195</v>
      </c>
      <c r="R1" s="21" t="s">
        <v>197</v>
      </c>
      <c r="S1" s="23" t="s">
        <v>199</v>
      </c>
      <c r="T1" s="21" t="s">
        <v>201</v>
      </c>
      <c r="U1" s="23" t="s">
        <v>203</v>
      </c>
      <c r="V1" s="21" t="s">
        <v>205</v>
      </c>
      <c r="W1" s="23" t="s">
        <v>207</v>
      </c>
      <c r="X1" s="21" t="s">
        <v>209</v>
      </c>
      <c r="Y1" s="23" t="s">
        <v>211</v>
      </c>
      <c r="Z1" s="21" t="s">
        <v>213</v>
      </c>
      <c r="AA1" s="23" t="s">
        <v>215</v>
      </c>
      <c r="AB1" s="21" t="s">
        <v>217</v>
      </c>
      <c r="AC1" s="23" t="s">
        <v>219</v>
      </c>
      <c r="AD1" s="21" t="s">
        <v>221</v>
      </c>
      <c r="AE1" s="23" t="s">
        <v>223</v>
      </c>
    </row>
    <row r="2" spans="1:31" x14ac:dyDescent="0.3">
      <c r="A2" s="19" t="s">
        <v>157</v>
      </c>
      <c r="B2" s="21" t="s">
        <v>126</v>
      </c>
      <c r="C2" s="23" t="s">
        <v>127</v>
      </c>
      <c r="D2" s="21" t="s">
        <v>128</v>
      </c>
      <c r="E2" s="23" t="s">
        <v>172</v>
      </c>
      <c r="F2" s="21" t="s">
        <v>126</v>
      </c>
      <c r="G2" s="23" t="s">
        <v>128</v>
      </c>
      <c r="H2" s="21" t="s">
        <v>127</v>
      </c>
      <c r="I2" s="23" t="s">
        <v>172</v>
      </c>
      <c r="J2" s="21" t="s">
        <v>128</v>
      </c>
      <c r="K2" s="23" t="s">
        <v>126</v>
      </c>
      <c r="L2" s="21" t="s">
        <v>127</v>
      </c>
      <c r="M2" s="23" t="s">
        <v>172</v>
      </c>
      <c r="N2" s="21" t="s">
        <v>128</v>
      </c>
      <c r="O2" s="23" t="s">
        <v>126</v>
      </c>
      <c r="P2" s="21" t="s">
        <v>127</v>
      </c>
      <c r="Q2" s="23" t="s">
        <v>172</v>
      </c>
      <c r="R2" s="21" t="s">
        <v>128</v>
      </c>
      <c r="S2" s="23" t="s">
        <v>126</v>
      </c>
      <c r="T2" s="21" t="s">
        <v>127</v>
      </c>
      <c r="U2" s="23" t="s">
        <v>172</v>
      </c>
      <c r="V2" s="21" t="s">
        <v>128</v>
      </c>
      <c r="W2" s="23" t="s">
        <v>126</v>
      </c>
      <c r="X2" s="21" t="s">
        <v>127</v>
      </c>
      <c r="Y2" s="23" t="s">
        <v>172</v>
      </c>
      <c r="Z2" s="21" t="s">
        <v>128</v>
      </c>
      <c r="AA2" s="23" t="s">
        <v>126</v>
      </c>
      <c r="AB2" s="21" t="s">
        <v>127</v>
      </c>
      <c r="AC2" s="23" t="s">
        <v>172</v>
      </c>
      <c r="AD2" s="21" t="s">
        <v>128</v>
      </c>
      <c r="AE2" s="23" t="s">
        <v>126</v>
      </c>
    </row>
    <row r="3" spans="1:31" x14ac:dyDescent="0.3">
      <c r="A3" s="19" t="s">
        <v>158</v>
      </c>
      <c r="B3" s="21">
        <v>45000</v>
      </c>
      <c r="C3" s="23">
        <v>40000</v>
      </c>
      <c r="D3" s="21">
        <v>60000</v>
      </c>
      <c r="E3" s="23">
        <v>55000</v>
      </c>
      <c r="F3" s="21">
        <v>48000</v>
      </c>
      <c r="G3" s="23">
        <v>62000</v>
      </c>
      <c r="H3" s="21">
        <v>42000</v>
      </c>
      <c r="I3" s="23">
        <v>53000</v>
      </c>
      <c r="J3" s="21">
        <v>61000</v>
      </c>
      <c r="K3" s="23">
        <v>47000</v>
      </c>
      <c r="L3" s="21">
        <v>41000</v>
      </c>
      <c r="M3" s="23">
        <v>56000</v>
      </c>
      <c r="N3" s="21">
        <v>63000</v>
      </c>
      <c r="O3" s="23">
        <v>49000</v>
      </c>
      <c r="P3" s="21">
        <v>43000</v>
      </c>
      <c r="Q3" s="23">
        <v>54000</v>
      </c>
      <c r="R3" s="21">
        <v>64000</v>
      </c>
      <c r="S3" s="23">
        <v>50000</v>
      </c>
      <c r="T3" s="21">
        <v>44000</v>
      </c>
      <c r="U3" s="23">
        <v>57000</v>
      </c>
      <c r="V3" s="21">
        <v>65000</v>
      </c>
      <c r="W3" s="23">
        <v>46000</v>
      </c>
      <c r="X3" s="21">
        <v>45000</v>
      </c>
      <c r="Y3" s="23">
        <v>58000</v>
      </c>
      <c r="Z3" s="21">
        <v>66000</v>
      </c>
      <c r="AA3" s="23">
        <v>47000</v>
      </c>
      <c r="AB3" s="21">
        <v>46000</v>
      </c>
      <c r="AC3" s="23">
        <v>59000</v>
      </c>
      <c r="AD3" s="21">
        <v>67000</v>
      </c>
      <c r="AE3" s="23">
        <v>48000</v>
      </c>
    </row>
    <row r="4" spans="1:31" x14ac:dyDescent="0.3">
      <c r="A4" s="19" t="s">
        <v>159</v>
      </c>
      <c r="B4" s="21">
        <v>24</v>
      </c>
      <c r="C4" s="23">
        <v>26</v>
      </c>
      <c r="D4" s="21">
        <v>25</v>
      </c>
      <c r="E4" s="23">
        <v>27</v>
      </c>
      <c r="F4" s="21">
        <v>23</v>
      </c>
      <c r="G4" s="23">
        <v>28</v>
      </c>
      <c r="H4" s="21">
        <v>24</v>
      </c>
      <c r="I4" s="23">
        <v>29</v>
      </c>
      <c r="J4" s="21">
        <v>26</v>
      </c>
      <c r="K4" s="23">
        <v>25</v>
      </c>
      <c r="L4" s="21">
        <v>23</v>
      </c>
      <c r="M4" s="23">
        <v>30</v>
      </c>
      <c r="N4" s="21">
        <v>27</v>
      </c>
      <c r="O4" s="23">
        <v>26</v>
      </c>
      <c r="P4" s="21">
        <v>24</v>
      </c>
      <c r="Q4" s="23">
        <v>28</v>
      </c>
      <c r="R4" s="21">
        <v>29</v>
      </c>
      <c r="S4" s="23">
        <v>27</v>
      </c>
      <c r="T4" s="21">
        <v>25</v>
      </c>
      <c r="U4" s="23">
        <v>31</v>
      </c>
      <c r="V4" s="21">
        <v>28</v>
      </c>
      <c r="W4" s="23">
        <v>24</v>
      </c>
      <c r="X4" s="21">
        <v>26</v>
      </c>
      <c r="Y4" s="23">
        <v>29</v>
      </c>
      <c r="Z4" s="21">
        <v>30</v>
      </c>
      <c r="AA4" s="23">
        <v>25</v>
      </c>
      <c r="AB4" s="21">
        <v>27</v>
      </c>
      <c r="AC4" s="23">
        <v>32</v>
      </c>
      <c r="AD4" s="21">
        <v>31</v>
      </c>
      <c r="AE4" s="23">
        <v>26</v>
      </c>
    </row>
    <row r="5" spans="1:31" x14ac:dyDescent="0.3">
      <c r="A5" s="19" t="s">
        <v>160</v>
      </c>
      <c r="B5" s="21" t="s">
        <v>163</v>
      </c>
      <c r="C5" s="23" t="s">
        <v>166</v>
      </c>
      <c r="D5" s="21" t="s">
        <v>169</v>
      </c>
      <c r="E5" s="23" t="s">
        <v>173</v>
      </c>
      <c r="F5" s="21" t="s">
        <v>176</v>
      </c>
      <c r="G5" s="23" t="s">
        <v>179</v>
      </c>
      <c r="H5" s="21" t="s">
        <v>163</v>
      </c>
      <c r="I5" s="23" t="s">
        <v>166</v>
      </c>
      <c r="J5" s="21" t="s">
        <v>169</v>
      </c>
      <c r="K5" s="23" t="s">
        <v>173</v>
      </c>
      <c r="L5" s="21" t="s">
        <v>176</v>
      </c>
      <c r="M5" s="23" t="s">
        <v>179</v>
      </c>
      <c r="N5" s="21" t="s">
        <v>163</v>
      </c>
      <c r="O5" s="23" t="s">
        <v>166</v>
      </c>
      <c r="P5" s="21" t="s">
        <v>169</v>
      </c>
      <c r="Q5" s="23" t="s">
        <v>173</v>
      </c>
      <c r="R5" s="21" t="s">
        <v>176</v>
      </c>
      <c r="S5" s="23" t="s">
        <v>179</v>
      </c>
      <c r="T5" s="21" t="s">
        <v>163</v>
      </c>
      <c r="U5" s="23" t="s">
        <v>166</v>
      </c>
      <c r="V5" s="21" t="s">
        <v>169</v>
      </c>
      <c r="W5" s="23" t="s">
        <v>173</v>
      </c>
      <c r="X5" s="21" t="s">
        <v>176</v>
      </c>
      <c r="Y5" s="23" t="s">
        <v>179</v>
      </c>
      <c r="Z5" s="21" t="s">
        <v>163</v>
      </c>
      <c r="AA5" s="23" t="s">
        <v>166</v>
      </c>
      <c r="AB5" s="21" t="s">
        <v>169</v>
      </c>
      <c r="AC5" s="23" t="s">
        <v>173</v>
      </c>
      <c r="AD5" s="21" t="s">
        <v>176</v>
      </c>
      <c r="AE5" s="23" t="s">
        <v>179</v>
      </c>
    </row>
    <row r="6" spans="1:31" x14ac:dyDescent="0.3">
      <c r="A6" s="20" t="s">
        <v>96</v>
      </c>
      <c r="B6" s="22">
        <v>1001</v>
      </c>
      <c r="C6" s="24">
        <v>1002</v>
      </c>
      <c r="D6" s="22">
        <v>1003</v>
      </c>
      <c r="E6" s="24">
        <v>1004</v>
      </c>
      <c r="F6" s="22">
        <v>1005</v>
      </c>
      <c r="G6" s="24">
        <v>1006</v>
      </c>
      <c r="H6" s="22">
        <v>1007</v>
      </c>
      <c r="I6" s="24">
        <v>1008</v>
      </c>
      <c r="J6" s="22">
        <v>1009</v>
      </c>
      <c r="K6" s="24">
        <v>1010</v>
      </c>
      <c r="L6" s="22">
        <v>1011</v>
      </c>
      <c r="M6" s="24">
        <v>1012</v>
      </c>
      <c r="N6" s="22">
        <v>1013</v>
      </c>
      <c r="O6" s="24">
        <v>1014</v>
      </c>
      <c r="P6" s="22">
        <v>1015</v>
      </c>
      <c r="Q6" s="24">
        <v>1016</v>
      </c>
      <c r="R6" s="22">
        <v>1017</v>
      </c>
      <c r="S6" s="24">
        <v>1018</v>
      </c>
      <c r="T6" s="22">
        <v>1019</v>
      </c>
      <c r="U6" s="24">
        <v>1020</v>
      </c>
      <c r="V6" s="22">
        <v>1021</v>
      </c>
      <c r="W6" s="24">
        <v>1022</v>
      </c>
      <c r="X6" s="22">
        <v>1023</v>
      </c>
      <c r="Y6" s="24">
        <v>1024</v>
      </c>
      <c r="Z6" s="22">
        <v>1025</v>
      </c>
      <c r="AA6" s="24">
        <v>1026</v>
      </c>
      <c r="AB6" s="22">
        <v>1027</v>
      </c>
      <c r="AC6" s="24">
        <v>1028</v>
      </c>
      <c r="AD6" s="22">
        <v>1029</v>
      </c>
      <c r="AE6" s="24">
        <v>1030</v>
      </c>
    </row>
    <row r="8" spans="1:31" x14ac:dyDescent="0.3">
      <c r="L8" s="18" t="s">
        <v>233</v>
      </c>
    </row>
    <row r="9" spans="1:31" x14ac:dyDescent="0.3">
      <c r="L9" t="s">
        <v>18</v>
      </c>
      <c r="M9" t="s">
        <v>229</v>
      </c>
    </row>
    <row r="10" spans="1:31" x14ac:dyDescent="0.3">
      <c r="L10" t="s">
        <v>232</v>
      </c>
      <c r="M10" t="str">
        <f>HLOOKUP(L10,A1:AE6,5,FALSE)</f>
        <v>Delhi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B4F5-5E06-474E-B7CD-92BAF5F4B468}">
  <sheetPr>
    <tabColor rgb="FFFCE5CD"/>
  </sheetPr>
  <dimension ref="A1:K27"/>
  <sheetViews>
    <sheetView workbookViewId="0">
      <selection activeCell="D8" sqref="D8"/>
    </sheetView>
  </sheetViews>
  <sheetFormatPr defaultRowHeight="14.4" x14ac:dyDescent="0.3"/>
  <cols>
    <col min="1" max="1" width="11.77734375" customWidth="1"/>
    <col min="2" max="2" width="26.6640625" bestFit="1" customWidth="1"/>
    <col min="3" max="3" width="12" bestFit="1" customWidth="1"/>
    <col min="4" max="4" width="10" bestFit="1" customWidth="1"/>
    <col min="5" max="5" width="10.6640625" bestFit="1" customWidth="1"/>
    <col min="6" max="7" width="10.44140625" bestFit="1" customWidth="1"/>
    <col min="8" max="8" width="12.109375" bestFit="1" customWidth="1"/>
    <col min="9" max="9" width="16.44140625" bestFit="1" customWidth="1"/>
    <col min="10" max="10" width="11.21875" bestFit="1" customWidth="1"/>
    <col min="11" max="11" width="15.5546875" bestFit="1" customWidth="1"/>
  </cols>
  <sheetData>
    <row r="1" spans="1:11" ht="19.8" x14ac:dyDescent="0.4">
      <c r="A1" s="31" t="s">
        <v>236</v>
      </c>
    </row>
    <row r="2" spans="1:11" x14ac:dyDescent="0.3">
      <c r="A2" s="32" t="s">
        <v>237</v>
      </c>
    </row>
    <row r="4" spans="1:11" x14ac:dyDescent="0.3">
      <c r="A4" s="39" t="s">
        <v>157</v>
      </c>
      <c r="B4" s="39" t="s">
        <v>238</v>
      </c>
      <c r="C4" s="39" t="s">
        <v>239</v>
      </c>
      <c r="D4" s="37" t="s">
        <v>240</v>
      </c>
      <c r="E4" s="37" t="s">
        <v>241</v>
      </c>
      <c r="F4" s="37" t="s">
        <v>242</v>
      </c>
      <c r="G4" s="37" t="s">
        <v>243</v>
      </c>
      <c r="H4" s="37" t="s">
        <v>244</v>
      </c>
      <c r="I4" s="37" t="s">
        <v>245</v>
      </c>
      <c r="J4" s="39" t="s">
        <v>246</v>
      </c>
      <c r="K4" s="39" t="s">
        <v>247</v>
      </c>
    </row>
    <row r="5" spans="1:11" x14ac:dyDescent="0.3">
      <c r="A5" s="43" t="s">
        <v>128</v>
      </c>
      <c r="B5" s="43" t="s">
        <v>129</v>
      </c>
      <c r="C5" s="43">
        <v>1</v>
      </c>
      <c r="D5" s="33">
        <v>260000</v>
      </c>
      <c r="E5" s="33">
        <v>29000</v>
      </c>
      <c r="F5" s="33">
        <v>1450</v>
      </c>
      <c r="G5" s="33">
        <v>30450</v>
      </c>
      <c r="H5" s="35">
        <v>8.9655172414000006</v>
      </c>
      <c r="I5" s="35">
        <v>8.5385878489000007</v>
      </c>
      <c r="J5" s="40">
        <v>1</v>
      </c>
      <c r="K5" s="40">
        <v>1</v>
      </c>
    </row>
    <row r="6" spans="1:11" x14ac:dyDescent="0.3">
      <c r="A6" s="42" t="s">
        <v>128</v>
      </c>
      <c r="B6" s="42" t="s">
        <v>130</v>
      </c>
      <c r="C6" s="42">
        <v>2</v>
      </c>
      <c r="D6" s="33">
        <v>479000</v>
      </c>
      <c r="E6" s="33">
        <v>55500</v>
      </c>
      <c r="F6" s="33">
        <v>2775</v>
      </c>
      <c r="G6" s="33">
        <v>58275</v>
      </c>
      <c r="H6" s="35">
        <v>8.6306306306000007</v>
      </c>
      <c r="I6" s="35">
        <v>8.2205062205000008</v>
      </c>
      <c r="J6" s="38">
        <v>2</v>
      </c>
      <c r="K6" s="38">
        <v>2</v>
      </c>
    </row>
    <row r="7" spans="1:11" x14ac:dyDescent="0.3">
      <c r="A7" s="42" t="s">
        <v>128</v>
      </c>
      <c r="B7" s="42" t="s">
        <v>132</v>
      </c>
      <c r="C7" s="42">
        <v>2</v>
      </c>
      <c r="D7" s="33">
        <v>513000</v>
      </c>
      <c r="E7" s="33">
        <v>59500</v>
      </c>
      <c r="F7" s="33">
        <v>3570</v>
      </c>
      <c r="G7" s="33">
        <v>63070</v>
      </c>
      <c r="H7" s="35">
        <v>8.6218487395000007</v>
      </c>
      <c r="I7" s="48" t="s">
        <v>261</v>
      </c>
      <c r="J7" s="38">
        <v>3</v>
      </c>
      <c r="K7" s="38">
        <v>3</v>
      </c>
    </row>
    <row r="8" spans="1:11" x14ac:dyDescent="0.3">
      <c r="A8" s="42" t="s">
        <v>128</v>
      </c>
      <c r="B8" s="42" t="s">
        <v>131</v>
      </c>
      <c r="C8" s="42">
        <v>1</v>
      </c>
      <c r="D8" s="33">
        <v>240000</v>
      </c>
      <c r="E8" s="33">
        <v>28500</v>
      </c>
      <c r="F8" s="33">
        <v>1425</v>
      </c>
      <c r="G8" s="33">
        <v>29925</v>
      </c>
      <c r="H8" s="35">
        <v>8.4210526316000003</v>
      </c>
      <c r="I8" s="35">
        <v>8.0200501252999992</v>
      </c>
      <c r="J8" s="38">
        <v>4</v>
      </c>
      <c r="K8" s="38">
        <v>4</v>
      </c>
    </row>
    <row r="9" spans="1:11" x14ac:dyDescent="0.3">
      <c r="A9" s="42" t="s">
        <v>126</v>
      </c>
      <c r="B9" s="42" t="s">
        <v>129</v>
      </c>
      <c r="C9" s="42">
        <v>3</v>
      </c>
      <c r="D9" s="33">
        <v>601000</v>
      </c>
      <c r="E9" s="33">
        <v>76500</v>
      </c>
      <c r="F9" s="33">
        <v>3570</v>
      </c>
      <c r="G9" s="33">
        <v>80070</v>
      </c>
      <c r="H9" s="35">
        <v>7.8562091502999998</v>
      </c>
      <c r="I9" s="35">
        <v>7.5065567627999998</v>
      </c>
      <c r="J9" s="38">
        <v>5</v>
      </c>
      <c r="K9" s="38">
        <v>5</v>
      </c>
    </row>
    <row r="10" spans="1:11" x14ac:dyDescent="0.3">
      <c r="A10" s="42" t="s">
        <v>126</v>
      </c>
      <c r="B10" s="42" t="s">
        <v>132</v>
      </c>
      <c r="C10" s="42">
        <v>1</v>
      </c>
      <c r="D10" s="33">
        <v>201000</v>
      </c>
      <c r="E10" s="33">
        <v>27000</v>
      </c>
      <c r="F10" s="33">
        <v>1350</v>
      </c>
      <c r="G10" s="33">
        <v>28350</v>
      </c>
      <c r="H10" s="35">
        <v>7.4444444444000002</v>
      </c>
      <c r="I10" s="35">
        <v>7.0899470898999999</v>
      </c>
      <c r="J10" s="38">
        <v>6</v>
      </c>
      <c r="K10" s="38">
        <v>6</v>
      </c>
    </row>
    <row r="11" spans="1:11" x14ac:dyDescent="0.3">
      <c r="A11" s="42" t="s">
        <v>126</v>
      </c>
      <c r="B11" s="42" t="s">
        <v>131</v>
      </c>
      <c r="C11" s="42">
        <v>2</v>
      </c>
      <c r="D11" s="33">
        <v>350000</v>
      </c>
      <c r="E11" s="33">
        <v>48500</v>
      </c>
      <c r="F11" s="33">
        <v>1940</v>
      </c>
      <c r="G11" s="33">
        <v>50440</v>
      </c>
      <c r="H11" s="35">
        <v>7.2164948453999997</v>
      </c>
      <c r="I11" s="35">
        <v>6.9389373512999999</v>
      </c>
      <c r="J11" s="38">
        <v>7</v>
      </c>
      <c r="K11" s="38">
        <v>7</v>
      </c>
    </row>
    <row r="12" spans="1:11" x14ac:dyDescent="0.3">
      <c r="A12" s="42" t="s">
        <v>126</v>
      </c>
      <c r="B12" s="42" t="s">
        <v>130</v>
      </c>
      <c r="C12" s="42">
        <v>2</v>
      </c>
      <c r="D12" s="33">
        <v>299000</v>
      </c>
      <c r="E12" s="33">
        <v>45500</v>
      </c>
      <c r="F12" s="33">
        <v>1820</v>
      </c>
      <c r="G12" s="33">
        <v>47320</v>
      </c>
      <c r="H12" s="35">
        <v>6.5714285714000003</v>
      </c>
      <c r="I12" s="35">
        <v>6.3186813187000004</v>
      </c>
      <c r="J12" s="38">
        <v>8</v>
      </c>
      <c r="K12" s="38">
        <v>8</v>
      </c>
    </row>
    <row r="13" spans="1:11" x14ac:dyDescent="0.3">
      <c r="A13" s="42" t="s">
        <v>127</v>
      </c>
      <c r="B13" s="42" t="s">
        <v>132</v>
      </c>
      <c r="C13" s="42">
        <v>2</v>
      </c>
      <c r="D13" s="33">
        <v>196000</v>
      </c>
      <c r="E13" s="33">
        <v>41500</v>
      </c>
      <c r="F13" s="33">
        <v>1245</v>
      </c>
      <c r="G13" s="33">
        <v>42745</v>
      </c>
      <c r="H13" s="35">
        <v>4.7228915663000004</v>
      </c>
      <c r="I13" s="35">
        <v>4.5853316176999996</v>
      </c>
      <c r="J13" s="38">
        <v>9</v>
      </c>
      <c r="K13" s="38">
        <v>9</v>
      </c>
    </row>
    <row r="14" spans="1:11" x14ac:dyDescent="0.3">
      <c r="A14" s="42" t="s">
        <v>127</v>
      </c>
      <c r="B14" s="42" t="s">
        <v>129</v>
      </c>
      <c r="C14" s="42">
        <v>1</v>
      </c>
      <c r="D14" s="33">
        <v>98000</v>
      </c>
      <c r="E14" s="33">
        <v>21500</v>
      </c>
      <c r="F14" s="33">
        <v>645</v>
      </c>
      <c r="G14" s="33">
        <v>22145</v>
      </c>
      <c r="H14" s="35">
        <v>4.5581395348999996</v>
      </c>
      <c r="I14" s="35">
        <v>4.4253781891999999</v>
      </c>
      <c r="J14" s="38">
        <v>10</v>
      </c>
      <c r="K14" s="38">
        <v>10</v>
      </c>
    </row>
    <row r="15" spans="1:11" x14ac:dyDescent="0.3">
      <c r="A15" s="42" t="s">
        <v>127</v>
      </c>
      <c r="B15" s="42" t="s">
        <v>131</v>
      </c>
      <c r="C15" s="42">
        <v>2</v>
      </c>
      <c r="D15" s="33">
        <v>188000</v>
      </c>
      <c r="E15" s="33">
        <v>42000</v>
      </c>
      <c r="F15" s="33">
        <v>1260</v>
      </c>
      <c r="G15" s="33">
        <v>43260</v>
      </c>
      <c r="H15" s="35">
        <v>4.4761904762000002</v>
      </c>
      <c r="I15" s="35">
        <v>4.346740638</v>
      </c>
      <c r="J15" s="38">
        <v>11</v>
      </c>
      <c r="K15" s="38">
        <v>11</v>
      </c>
    </row>
    <row r="16" spans="1:11" x14ac:dyDescent="0.3">
      <c r="A16" s="44" t="s">
        <v>127</v>
      </c>
      <c r="B16" s="44" t="s">
        <v>130</v>
      </c>
      <c r="C16" s="44">
        <v>1</v>
      </c>
      <c r="D16" s="34">
        <v>94000</v>
      </c>
      <c r="E16" s="34">
        <v>21000</v>
      </c>
      <c r="F16" s="34">
        <v>630</v>
      </c>
      <c r="G16" s="34">
        <v>21630</v>
      </c>
      <c r="H16" s="36">
        <v>4.4761904762000002</v>
      </c>
      <c r="I16" s="36">
        <v>4.3458159962999998</v>
      </c>
      <c r="J16" s="41">
        <v>11</v>
      </c>
      <c r="K16" s="41">
        <v>12</v>
      </c>
    </row>
    <row r="18" spans="1:3" x14ac:dyDescent="0.3">
      <c r="A18" s="30" t="s">
        <v>248</v>
      </c>
    </row>
    <row r="19" spans="1:3" x14ac:dyDescent="0.3">
      <c r="A19" t="s">
        <v>249</v>
      </c>
      <c r="B19" t="s">
        <v>250</v>
      </c>
      <c r="C19" s="35">
        <v>8.5385878489000007</v>
      </c>
    </row>
    <row r="20" spans="1:3" x14ac:dyDescent="0.3">
      <c r="A20" t="s">
        <v>251</v>
      </c>
      <c r="B20" t="s">
        <v>250</v>
      </c>
      <c r="C20" s="35">
        <v>8.9655172414000006</v>
      </c>
    </row>
    <row r="21" spans="1:3" x14ac:dyDescent="0.3">
      <c r="A21" t="s">
        <v>252</v>
      </c>
      <c r="B21" t="s">
        <v>253</v>
      </c>
      <c r="C21" s="35">
        <v>4.3458159962999998</v>
      </c>
    </row>
    <row r="22" spans="1:3" x14ac:dyDescent="0.3">
      <c r="A22" t="s">
        <v>254</v>
      </c>
      <c r="B22" t="s">
        <v>255</v>
      </c>
    </row>
    <row r="24" spans="1:3" x14ac:dyDescent="0.3">
      <c r="A24" s="30" t="s">
        <v>256</v>
      </c>
    </row>
    <row r="25" spans="1:3" x14ac:dyDescent="0.3">
      <c r="A25" t="s">
        <v>257</v>
      </c>
    </row>
    <row r="26" spans="1:3" x14ac:dyDescent="0.3">
      <c r="A26" t="s">
        <v>258</v>
      </c>
    </row>
    <row r="27" spans="1:3" x14ac:dyDescent="0.3">
      <c r="A27" t="s">
        <v>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E99B-3D49-44AD-AA5A-211B81FE2C16}">
  <sheetPr>
    <tabColor rgb="FFFFF2CC"/>
  </sheetPr>
  <dimension ref="A1:BD40"/>
  <sheetViews>
    <sheetView zoomScale="82" workbookViewId="0">
      <selection activeCell="BA4" sqref="BA4"/>
    </sheetView>
  </sheetViews>
  <sheetFormatPr defaultRowHeight="14.4" x14ac:dyDescent="0.3"/>
  <cols>
    <col min="1" max="1" width="8.77734375" bestFit="1" customWidth="1"/>
    <col min="2" max="2" width="17.5546875" bestFit="1" customWidth="1"/>
    <col min="3" max="3" width="16.5546875" bestFit="1" customWidth="1"/>
    <col min="4" max="4" width="10.21875" bestFit="1" customWidth="1"/>
    <col min="5" max="5" width="16.33203125" bestFit="1" customWidth="1"/>
    <col min="6" max="6" width="15.77734375" bestFit="1" customWidth="1"/>
    <col min="7" max="7" width="15.33203125" bestFit="1" customWidth="1"/>
    <col min="8" max="8" width="17.21875" bestFit="1" customWidth="1"/>
    <col min="9" max="9" width="15.6640625" bestFit="1" customWidth="1"/>
    <col min="11" max="11" width="18.33203125" bestFit="1" customWidth="1"/>
    <col min="12" max="12" width="14.109375" bestFit="1" customWidth="1"/>
    <col min="13" max="14" width="19.6640625" bestFit="1" customWidth="1"/>
    <col min="15" max="15" width="10.44140625" bestFit="1" customWidth="1"/>
    <col min="16" max="16" width="17.5546875" bestFit="1" customWidth="1"/>
    <col min="17" max="17" width="14.77734375" bestFit="1" customWidth="1"/>
    <col min="18" max="18" width="10.21875" bestFit="1" customWidth="1"/>
    <col min="19" max="19" width="16.33203125" bestFit="1" customWidth="1"/>
    <col min="20" max="20" width="15.77734375" bestFit="1" customWidth="1"/>
    <col min="21" max="21" width="15.33203125" bestFit="1" customWidth="1"/>
    <col min="22" max="22" width="17.21875" bestFit="1" customWidth="1"/>
    <col min="23" max="23" width="15.6640625" bestFit="1" customWidth="1"/>
    <col min="24" max="24" width="17.5546875" bestFit="1" customWidth="1"/>
    <col min="25" max="25" width="16.5546875" bestFit="1" customWidth="1"/>
    <col min="26" max="26" width="11.5546875" bestFit="1" customWidth="1"/>
    <col min="27" max="27" width="17.5546875" bestFit="1" customWidth="1"/>
    <col min="28" max="28" width="15.6640625" bestFit="1" customWidth="1"/>
    <col min="29" max="29" width="10.21875" bestFit="1" customWidth="1"/>
    <col min="30" max="30" width="16.33203125" bestFit="1" customWidth="1"/>
    <col min="31" max="31" width="15.77734375" bestFit="1" customWidth="1"/>
    <col min="32" max="32" width="11.44140625" bestFit="1" customWidth="1"/>
    <col min="33" max="33" width="17.21875" bestFit="1" customWidth="1"/>
    <col min="34" max="34" width="15.6640625" bestFit="1" customWidth="1"/>
    <col min="37" max="37" width="11.6640625" bestFit="1" customWidth="1"/>
    <col min="38" max="38" width="17.5546875" bestFit="1" customWidth="1"/>
    <col min="39" max="39" width="14.77734375" bestFit="1" customWidth="1"/>
    <col min="40" max="40" width="10.21875" bestFit="1" customWidth="1"/>
    <col min="41" max="41" width="16.33203125" bestFit="1" customWidth="1"/>
    <col min="42" max="42" width="15.77734375" bestFit="1" customWidth="1"/>
    <col min="43" max="43" width="15.33203125" bestFit="1" customWidth="1"/>
    <col min="44" max="44" width="17.21875" bestFit="1" customWidth="1"/>
    <col min="45" max="45" width="15.6640625" bestFit="1" customWidth="1"/>
    <col min="48" max="48" width="11.109375" bestFit="1" customWidth="1"/>
    <col min="49" max="49" width="17.5546875" bestFit="1" customWidth="1"/>
    <col min="50" max="50" width="16" bestFit="1" customWidth="1"/>
    <col min="51" max="51" width="10.21875" bestFit="1" customWidth="1"/>
    <col min="52" max="52" width="16.33203125" bestFit="1" customWidth="1"/>
    <col min="53" max="53" width="15.77734375" bestFit="1" customWidth="1"/>
    <col min="54" max="54" width="15.33203125" bestFit="1" customWidth="1"/>
    <col min="55" max="55" width="17.21875" bestFit="1" customWidth="1"/>
    <col min="56" max="56" width="15.6640625" bestFit="1" customWidth="1"/>
  </cols>
  <sheetData>
    <row r="1" spans="1:56" x14ac:dyDescent="0.3">
      <c r="K1" s="99" t="s">
        <v>378</v>
      </c>
      <c r="L1" t="s">
        <v>440</v>
      </c>
    </row>
    <row r="2" spans="1:56" x14ac:dyDescent="0.3">
      <c r="O2" s="106" t="s">
        <v>442</v>
      </c>
      <c r="Z2" s="106" t="s">
        <v>443</v>
      </c>
      <c r="AK2" s="106" t="s">
        <v>444</v>
      </c>
      <c r="AV2" s="106" t="s">
        <v>445</v>
      </c>
    </row>
    <row r="3" spans="1:56" x14ac:dyDescent="0.3">
      <c r="A3" t="s">
        <v>238</v>
      </c>
      <c r="B3" t="s">
        <v>371</v>
      </c>
      <c r="C3" t="s">
        <v>372</v>
      </c>
      <c r="D3" t="s">
        <v>373</v>
      </c>
      <c r="E3" t="s">
        <v>586</v>
      </c>
      <c r="F3" t="s">
        <v>375</v>
      </c>
      <c r="G3" t="s">
        <v>376</v>
      </c>
      <c r="H3" t="s">
        <v>377</v>
      </c>
      <c r="I3" t="s">
        <v>378</v>
      </c>
      <c r="K3" s="102" t="s">
        <v>441</v>
      </c>
      <c r="L3" s="11" t="s">
        <v>439</v>
      </c>
      <c r="M3" s="11" t="s">
        <v>595</v>
      </c>
      <c r="O3" t="s">
        <v>238</v>
      </c>
      <c r="P3" t="s">
        <v>371</v>
      </c>
      <c r="Q3" t="s">
        <v>372</v>
      </c>
      <c r="R3" t="s">
        <v>373</v>
      </c>
      <c r="S3" t="s">
        <v>374</v>
      </c>
      <c r="T3" t="s">
        <v>375</v>
      </c>
      <c r="U3" t="s">
        <v>376</v>
      </c>
      <c r="V3" t="s">
        <v>377</v>
      </c>
      <c r="W3" t="s">
        <v>378</v>
      </c>
      <c r="Z3" t="s">
        <v>238</v>
      </c>
      <c r="AA3" t="s">
        <v>371</v>
      </c>
      <c r="AB3" t="s">
        <v>372</v>
      </c>
      <c r="AC3" t="s">
        <v>373</v>
      </c>
      <c r="AD3" t="s">
        <v>586</v>
      </c>
      <c r="AE3" t="s">
        <v>596</v>
      </c>
      <c r="AF3" t="s">
        <v>376</v>
      </c>
      <c r="AG3" t="s">
        <v>377</v>
      </c>
      <c r="AH3" t="s">
        <v>378</v>
      </c>
      <c r="AK3" t="s">
        <v>238</v>
      </c>
      <c r="AL3" t="s">
        <v>371</v>
      </c>
      <c r="AM3" t="s">
        <v>372</v>
      </c>
      <c r="AN3" t="s">
        <v>373</v>
      </c>
      <c r="AO3" t="s">
        <v>586</v>
      </c>
      <c r="AP3" t="s">
        <v>596</v>
      </c>
      <c r="AQ3" t="s">
        <v>376</v>
      </c>
      <c r="AR3" t="s">
        <v>377</v>
      </c>
      <c r="AS3" t="s">
        <v>378</v>
      </c>
      <c r="AV3" t="s">
        <v>238</v>
      </c>
      <c r="AW3" t="s">
        <v>371</v>
      </c>
      <c r="AX3" t="s">
        <v>372</v>
      </c>
      <c r="AY3" t="s">
        <v>373</v>
      </c>
      <c r="AZ3" t="s">
        <v>586</v>
      </c>
      <c r="BA3" t="s">
        <v>596</v>
      </c>
      <c r="BB3" t="s">
        <v>376</v>
      </c>
      <c r="BC3" t="s">
        <v>377</v>
      </c>
      <c r="BD3" t="s">
        <v>378</v>
      </c>
    </row>
    <row r="4" spans="1:56" x14ac:dyDescent="0.3">
      <c r="A4" t="s">
        <v>129</v>
      </c>
      <c r="B4" t="s">
        <v>379</v>
      </c>
      <c r="C4" t="s">
        <v>380</v>
      </c>
      <c r="D4" s="97">
        <v>42</v>
      </c>
      <c r="E4" s="98">
        <v>49.99</v>
      </c>
      <c r="F4" s="98">
        <v>2099.58</v>
      </c>
      <c r="G4" t="s">
        <v>381</v>
      </c>
      <c r="H4" t="s">
        <v>382</v>
      </c>
      <c r="I4" t="s">
        <v>383</v>
      </c>
      <c r="K4" s="103" t="s">
        <v>397</v>
      </c>
      <c r="L4" s="104">
        <v>339</v>
      </c>
      <c r="M4" s="105">
        <v>7117.5</v>
      </c>
      <c r="O4" t="s">
        <v>131</v>
      </c>
      <c r="P4" t="s">
        <v>389</v>
      </c>
      <c r="Q4" t="s">
        <v>390</v>
      </c>
      <c r="R4" s="97">
        <v>12</v>
      </c>
      <c r="S4" s="98">
        <v>135</v>
      </c>
      <c r="T4" s="98">
        <v>1620</v>
      </c>
      <c r="U4" t="s">
        <v>391</v>
      </c>
      <c r="V4" t="s">
        <v>392</v>
      </c>
      <c r="W4" t="s">
        <v>383</v>
      </c>
      <c r="Z4" t="s">
        <v>129</v>
      </c>
      <c r="AA4" t="s">
        <v>379</v>
      </c>
      <c r="AB4" t="s">
        <v>380</v>
      </c>
      <c r="AC4" s="97">
        <v>42</v>
      </c>
      <c r="AD4" s="98">
        <v>49.99</v>
      </c>
      <c r="AE4" s="98">
        <v>2099.58</v>
      </c>
      <c r="AF4" t="s">
        <v>381</v>
      </c>
      <c r="AG4" t="s">
        <v>382</v>
      </c>
      <c r="AH4" t="s">
        <v>383</v>
      </c>
      <c r="AK4" t="s">
        <v>130</v>
      </c>
      <c r="AL4" t="s">
        <v>384</v>
      </c>
      <c r="AM4" t="s">
        <v>385</v>
      </c>
      <c r="AN4" s="97">
        <v>18</v>
      </c>
      <c r="AO4" s="98">
        <v>89.5</v>
      </c>
      <c r="AP4" s="98">
        <v>1611</v>
      </c>
      <c r="AQ4" t="s">
        <v>386</v>
      </c>
      <c r="AR4" t="s">
        <v>387</v>
      </c>
      <c r="AS4" t="s">
        <v>388</v>
      </c>
      <c r="AV4" t="s">
        <v>132</v>
      </c>
      <c r="AW4" t="s">
        <v>393</v>
      </c>
      <c r="AX4" t="s">
        <v>394</v>
      </c>
      <c r="AY4" s="97">
        <v>55</v>
      </c>
      <c r="AZ4" s="98">
        <v>72.25</v>
      </c>
      <c r="BA4" s="98">
        <v>3973.75</v>
      </c>
      <c r="BB4" t="s">
        <v>395</v>
      </c>
      <c r="BC4" t="s">
        <v>396</v>
      </c>
      <c r="BD4" t="s">
        <v>383</v>
      </c>
    </row>
    <row r="5" spans="1:56" x14ac:dyDescent="0.3">
      <c r="A5" t="s">
        <v>130</v>
      </c>
      <c r="B5" t="s">
        <v>384</v>
      </c>
      <c r="C5" t="s">
        <v>385</v>
      </c>
      <c r="D5" s="97">
        <v>18</v>
      </c>
      <c r="E5" s="98">
        <v>89.5</v>
      </c>
      <c r="F5" s="98">
        <v>1611</v>
      </c>
      <c r="G5" t="s">
        <v>386</v>
      </c>
      <c r="H5" t="s">
        <v>387</v>
      </c>
      <c r="I5" t="s">
        <v>388</v>
      </c>
      <c r="K5" s="101" t="s">
        <v>404</v>
      </c>
      <c r="L5" s="97">
        <v>19</v>
      </c>
      <c r="M5" s="98">
        <v>1567.5</v>
      </c>
      <c r="N5" s="97"/>
      <c r="O5" t="s">
        <v>131</v>
      </c>
      <c r="P5" t="s">
        <v>407</v>
      </c>
      <c r="Q5" t="s">
        <v>408</v>
      </c>
      <c r="R5" s="97">
        <v>27</v>
      </c>
      <c r="S5" s="98">
        <v>31.5</v>
      </c>
      <c r="T5" s="98">
        <v>850.5</v>
      </c>
      <c r="U5" t="s">
        <v>409</v>
      </c>
      <c r="V5" t="s">
        <v>382</v>
      </c>
      <c r="W5" t="s">
        <v>410</v>
      </c>
      <c r="Z5" t="s">
        <v>129</v>
      </c>
      <c r="AA5" t="s">
        <v>379</v>
      </c>
      <c r="AB5" t="s">
        <v>403</v>
      </c>
      <c r="AC5" s="97">
        <v>65</v>
      </c>
      <c r="AD5" s="98">
        <v>19.989999999999998</v>
      </c>
      <c r="AE5" s="98">
        <v>1299.3499999999999</v>
      </c>
      <c r="AF5" t="s">
        <v>381</v>
      </c>
      <c r="AG5" t="s">
        <v>382</v>
      </c>
      <c r="AH5" t="s">
        <v>383</v>
      </c>
      <c r="AK5" t="s">
        <v>130</v>
      </c>
      <c r="AL5" t="s">
        <v>404</v>
      </c>
      <c r="AM5" t="s">
        <v>405</v>
      </c>
      <c r="AN5" s="97">
        <v>30</v>
      </c>
      <c r="AO5" s="98">
        <v>58</v>
      </c>
      <c r="AP5" s="98">
        <v>1740</v>
      </c>
      <c r="AQ5" t="s">
        <v>406</v>
      </c>
      <c r="AR5" t="s">
        <v>387</v>
      </c>
      <c r="AS5" t="s">
        <v>383</v>
      </c>
      <c r="AV5" t="s">
        <v>132</v>
      </c>
      <c r="AW5" t="s">
        <v>411</v>
      </c>
      <c r="AX5" t="s">
        <v>412</v>
      </c>
      <c r="AY5" s="97">
        <v>40</v>
      </c>
      <c r="AZ5" s="98">
        <v>26.75</v>
      </c>
      <c r="BA5" s="98">
        <v>1070</v>
      </c>
      <c r="BB5" t="s">
        <v>413</v>
      </c>
      <c r="BC5" t="s">
        <v>396</v>
      </c>
      <c r="BD5" t="s">
        <v>383</v>
      </c>
    </row>
    <row r="6" spans="1:56" x14ac:dyDescent="0.3">
      <c r="A6" t="s">
        <v>131</v>
      </c>
      <c r="B6" t="s">
        <v>389</v>
      </c>
      <c r="C6" t="s">
        <v>390</v>
      </c>
      <c r="D6" s="97">
        <v>12</v>
      </c>
      <c r="E6" s="98">
        <v>135</v>
      </c>
      <c r="F6" s="98">
        <v>1620</v>
      </c>
      <c r="G6" t="s">
        <v>391</v>
      </c>
      <c r="H6" t="s">
        <v>392</v>
      </c>
      <c r="I6" t="s">
        <v>383</v>
      </c>
      <c r="K6" s="101" t="s">
        <v>379</v>
      </c>
      <c r="L6" s="97">
        <v>70</v>
      </c>
      <c r="M6" s="98">
        <v>1295</v>
      </c>
      <c r="N6" s="97"/>
      <c r="O6" t="s">
        <v>131</v>
      </c>
      <c r="P6" t="s">
        <v>389</v>
      </c>
      <c r="Q6" t="s">
        <v>420</v>
      </c>
      <c r="R6" s="97">
        <v>10</v>
      </c>
      <c r="S6" s="98">
        <v>210</v>
      </c>
      <c r="T6" s="98">
        <v>2100</v>
      </c>
      <c r="U6" t="s">
        <v>391</v>
      </c>
      <c r="V6" t="s">
        <v>387</v>
      </c>
      <c r="W6" t="s">
        <v>383</v>
      </c>
      <c r="Z6" t="s">
        <v>129</v>
      </c>
      <c r="AA6" t="s">
        <v>379</v>
      </c>
      <c r="AB6" t="s">
        <v>417</v>
      </c>
      <c r="AC6" s="97">
        <v>22</v>
      </c>
      <c r="AD6" s="98">
        <v>149.99</v>
      </c>
      <c r="AE6" s="98">
        <v>3299.78</v>
      </c>
      <c r="AF6" t="s">
        <v>418</v>
      </c>
      <c r="AG6" t="s">
        <v>382</v>
      </c>
      <c r="AH6" t="s">
        <v>383</v>
      </c>
      <c r="AK6" t="s">
        <v>130</v>
      </c>
      <c r="AL6" t="s">
        <v>384</v>
      </c>
      <c r="AM6" t="s">
        <v>419</v>
      </c>
      <c r="AN6" s="97">
        <v>14</v>
      </c>
      <c r="AO6" s="98">
        <v>129</v>
      </c>
      <c r="AP6" s="98">
        <v>1806</v>
      </c>
      <c r="AQ6" t="s">
        <v>386</v>
      </c>
      <c r="AR6" t="s">
        <v>392</v>
      </c>
      <c r="AS6" t="s">
        <v>410</v>
      </c>
      <c r="AV6" t="s">
        <v>132</v>
      </c>
      <c r="AW6" t="s">
        <v>393</v>
      </c>
      <c r="AX6" t="s">
        <v>421</v>
      </c>
      <c r="AY6" s="97">
        <v>25</v>
      </c>
      <c r="AZ6" s="98">
        <v>95</v>
      </c>
      <c r="BA6" s="98">
        <v>2375</v>
      </c>
      <c r="BB6" t="s">
        <v>395</v>
      </c>
      <c r="BC6" t="s">
        <v>382</v>
      </c>
      <c r="BD6" t="s">
        <v>383</v>
      </c>
    </row>
    <row r="7" spans="1:56" x14ac:dyDescent="0.3">
      <c r="A7" t="s">
        <v>132</v>
      </c>
      <c r="B7" t="s">
        <v>393</v>
      </c>
      <c r="C7" t="s">
        <v>394</v>
      </c>
      <c r="D7" s="97">
        <v>55</v>
      </c>
      <c r="E7" s="98">
        <v>72.25</v>
      </c>
      <c r="F7" s="98">
        <v>3973.75</v>
      </c>
      <c r="G7" t="s">
        <v>395</v>
      </c>
      <c r="H7" t="s">
        <v>396</v>
      </c>
      <c r="I7" t="s">
        <v>383</v>
      </c>
      <c r="K7" s="101" t="s">
        <v>398</v>
      </c>
      <c r="L7" s="97">
        <v>140</v>
      </c>
      <c r="M7" s="98">
        <v>2835</v>
      </c>
      <c r="N7" s="97"/>
      <c r="O7" t="s">
        <v>131</v>
      </c>
      <c r="P7" t="s">
        <v>411</v>
      </c>
      <c r="Q7" t="s">
        <v>425</v>
      </c>
      <c r="R7" s="97">
        <v>33</v>
      </c>
      <c r="S7" s="98">
        <v>39.99</v>
      </c>
      <c r="T7" s="98">
        <v>1319.67</v>
      </c>
      <c r="U7" t="s">
        <v>413</v>
      </c>
      <c r="V7" t="s">
        <v>382</v>
      </c>
      <c r="W7" t="s">
        <v>383</v>
      </c>
      <c r="Z7" t="s">
        <v>129</v>
      </c>
      <c r="AA7" t="s">
        <v>404</v>
      </c>
      <c r="AB7" t="s">
        <v>423</v>
      </c>
      <c r="AC7" s="97">
        <v>16</v>
      </c>
      <c r="AD7" s="98">
        <v>44.5</v>
      </c>
      <c r="AE7" s="98">
        <v>712</v>
      </c>
      <c r="AF7" t="s">
        <v>406</v>
      </c>
      <c r="AG7" t="s">
        <v>401</v>
      </c>
      <c r="AH7" t="s">
        <v>383</v>
      </c>
      <c r="AK7" t="s">
        <v>130</v>
      </c>
      <c r="AL7" t="s">
        <v>407</v>
      </c>
      <c r="AM7" t="s">
        <v>424</v>
      </c>
      <c r="AN7" s="97">
        <v>13</v>
      </c>
      <c r="AO7" s="98">
        <v>78</v>
      </c>
      <c r="AP7" s="98">
        <v>1014</v>
      </c>
      <c r="AQ7" t="s">
        <v>409</v>
      </c>
      <c r="AR7" t="s">
        <v>387</v>
      </c>
      <c r="AS7" t="s">
        <v>410</v>
      </c>
      <c r="AV7" t="s">
        <v>132</v>
      </c>
      <c r="AW7" t="s">
        <v>414</v>
      </c>
      <c r="AX7" t="s">
        <v>426</v>
      </c>
      <c r="AY7" s="97">
        <v>48</v>
      </c>
      <c r="AZ7" s="98">
        <v>12.75</v>
      </c>
      <c r="BA7" s="98">
        <v>612</v>
      </c>
      <c r="BB7" t="s">
        <v>416</v>
      </c>
      <c r="BC7" t="s">
        <v>396</v>
      </c>
      <c r="BD7" t="s">
        <v>388</v>
      </c>
    </row>
    <row r="8" spans="1:56" x14ac:dyDescent="0.3">
      <c r="A8" t="s">
        <v>397</v>
      </c>
      <c r="B8" t="s">
        <v>398</v>
      </c>
      <c r="C8" t="s">
        <v>399</v>
      </c>
      <c r="D8" s="97">
        <v>80</v>
      </c>
      <c r="E8" s="98">
        <v>24.75</v>
      </c>
      <c r="F8" s="98">
        <v>1980</v>
      </c>
      <c r="G8" t="s">
        <v>400</v>
      </c>
      <c r="H8" t="s">
        <v>401</v>
      </c>
      <c r="I8" t="s">
        <v>402</v>
      </c>
      <c r="K8" s="101" t="s">
        <v>384</v>
      </c>
      <c r="L8" s="97">
        <v>20</v>
      </c>
      <c r="M8" s="98">
        <v>835</v>
      </c>
      <c r="N8" s="97"/>
      <c r="O8" t="s">
        <v>131</v>
      </c>
      <c r="P8" t="s">
        <v>393</v>
      </c>
      <c r="Q8" t="s">
        <v>430</v>
      </c>
      <c r="R8" s="97">
        <v>21</v>
      </c>
      <c r="S8" s="98">
        <v>68.400000000000006</v>
      </c>
      <c r="T8" s="98">
        <v>1436.4</v>
      </c>
      <c r="U8" t="s">
        <v>395</v>
      </c>
      <c r="V8" t="s">
        <v>401</v>
      </c>
      <c r="W8" t="s">
        <v>383</v>
      </c>
      <c r="Z8" t="s">
        <v>129</v>
      </c>
      <c r="AA8" t="s">
        <v>384</v>
      </c>
      <c r="AB8" t="s">
        <v>428</v>
      </c>
      <c r="AC8" s="97">
        <v>28</v>
      </c>
      <c r="AD8" s="98">
        <v>34.99</v>
      </c>
      <c r="AE8" s="98">
        <v>979.72</v>
      </c>
      <c r="AF8" t="s">
        <v>381</v>
      </c>
      <c r="AG8" t="s">
        <v>387</v>
      </c>
      <c r="AH8" t="s">
        <v>383</v>
      </c>
      <c r="AK8" t="s">
        <v>130</v>
      </c>
      <c r="AL8" t="s">
        <v>389</v>
      </c>
      <c r="AM8" t="s">
        <v>429</v>
      </c>
      <c r="AN8" s="97">
        <v>9</v>
      </c>
      <c r="AO8" s="98">
        <v>175</v>
      </c>
      <c r="AP8" s="98">
        <v>1575</v>
      </c>
      <c r="AQ8" t="s">
        <v>391</v>
      </c>
      <c r="AR8" t="s">
        <v>392</v>
      </c>
      <c r="AS8" t="s">
        <v>410</v>
      </c>
      <c r="AV8" t="s">
        <v>132</v>
      </c>
      <c r="AW8" t="s">
        <v>398</v>
      </c>
      <c r="AX8" t="s">
        <v>431</v>
      </c>
      <c r="AY8" s="97">
        <v>75</v>
      </c>
      <c r="AZ8" s="98">
        <v>16.8</v>
      </c>
      <c r="BA8" s="98">
        <v>1260</v>
      </c>
      <c r="BB8" t="s">
        <v>400</v>
      </c>
      <c r="BC8" t="s">
        <v>396</v>
      </c>
      <c r="BD8" t="s">
        <v>402</v>
      </c>
    </row>
    <row r="9" spans="1:56" x14ac:dyDescent="0.3">
      <c r="A9" t="s">
        <v>129</v>
      </c>
      <c r="B9" t="s">
        <v>379</v>
      </c>
      <c r="C9" t="s">
        <v>403</v>
      </c>
      <c r="D9" s="97">
        <v>65</v>
      </c>
      <c r="E9" s="98">
        <v>19.989999999999998</v>
      </c>
      <c r="F9" s="98">
        <v>1299.3499999999999</v>
      </c>
      <c r="G9" t="s">
        <v>381</v>
      </c>
      <c r="H9" t="s">
        <v>382</v>
      </c>
      <c r="I9" t="s">
        <v>383</v>
      </c>
      <c r="K9" s="101" t="s">
        <v>414</v>
      </c>
      <c r="L9" s="97">
        <v>90</v>
      </c>
      <c r="M9" s="98">
        <v>585</v>
      </c>
      <c r="N9" s="97"/>
      <c r="O9" t="s">
        <v>131</v>
      </c>
      <c r="P9" t="s">
        <v>414</v>
      </c>
      <c r="Q9" t="s">
        <v>435</v>
      </c>
      <c r="R9" s="97">
        <v>95</v>
      </c>
      <c r="S9" s="98">
        <v>4.8</v>
      </c>
      <c r="T9" s="98">
        <v>456</v>
      </c>
      <c r="U9" t="s">
        <v>416</v>
      </c>
      <c r="V9" t="s">
        <v>396</v>
      </c>
      <c r="W9" t="s">
        <v>383</v>
      </c>
      <c r="Z9" t="s">
        <v>129</v>
      </c>
      <c r="AA9" t="s">
        <v>407</v>
      </c>
      <c r="AB9" t="s">
        <v>433</v>
      </c>
      <c r="AC9" s="97">
        <v>11</v>
      </c>
      <c r="AD9" s="98">
        <v>120</v>
      </c>
      <c r="AE9" s="98">
        <v>1320</v>
      </c>
      <c r="AF9" t="s">
        <v>409</v>
      </c>
      <c r="AG9" t="s">
        <v>387</v>
      </c>
      <c r="AH9" t="s">
        <v>383</v>
      </c>
      <c r="AK9" t="s">
        <v>130</v>
      </c>
      <c r="AL9" t="s">
        <v>411</v>
      </c>
      <c r="AM9" t="s">
        <v>434</v>
      </c>
      <c r="AN9" s="97">
        <v>36</v>
      </c>
      <c r="AO9" s="98">
        <v>15.25</v>
      </c>
      <c r="AP9" s="98">
        <v>549</v>
      </c>
      <c r="AQ9" t="s">
        <v>413</v>
      </c>
      <c r="AR9" t="s">
        <v>382</v>
      </c>
      <c r="AS9" t="s">
        <v>388</v>
      </c>
      <c r="AV9" t="s">
        <v>132</v>
      </c>
      <c r="AW9" t="s">
        <v>379</v>
      </c>
      <c r="AX9" t="s">
        <v>436</v>
      </c>
      <c r="AY9" s="97">
        <v>31</v>
      </c>
      <c r="AZ9" s="98">
        <v>22.9</v>
      </c>
      <c r="BA9" s="98">
        <v>709.9</v>
      </c>
      <c r="BB9" t="s">
        <v>418</v>
      </c>
      <c r="BC9" t="s">
        <v>401</v>
      </c>
      <c r="BD9" t="s">
        <v>410</v>
      </c>
    </row>
    <row r="10" spans="1:56" x14ac:dyDescent="0.3">
      <c r="A10" t="s">
        <v>130</v>
      </c>
      <c r="B10" t="s">
        <v>404</v>
      </c>
      <c r="C10" t="s">
        <v>405</v>
      </c>
      <c r="D10" s="97">
        <v>30</v>
      </c>
      <c r="E10" s="98">
        <v>58</v>
      </c>
      <c r="F10" s="98">
        <v>1740</v>
      </c>
      <c r="G10" t="s">
        <v>406</v>
      </c>
      <c r="H10" t="s">
        <v>387</v>
      </c>
      <c r="I10" t="s">
        <v>383</v>
      </c>
      <c r="K10" s="100" t="s">
        <v>131</v>
      </c>
      <c r="L10" s="97">
        <v>198</v>
      </c>
      <c r="M10" s="98">
        <v>7782.57</v>
      </c>
      <c r="N10" s="97"/>
    </row>
    <row r="11" spans="1:56" x14ac:dyDescent="0.3">
      <c r="A11" t="s">
        <v>131</v>
      </c>
      <c r="B11" t="s">
        <v>407</v>
      </c>
      <c r="C11" t="s">
        <v>408</v>
      </c>
      <c r="D11" s="97">
        <v>27</v>
      </c>
      <c r="E11" s="98">
        <v>31.5</v>
      </c>
      <c r="F11" s="98">
        <v>850.5</v>
      </c>
      <c r="G11" t="s">
        <v>409</v>
      </c>
      <c r="H11" t="s">
        <v>382</v>
      </c>
      <c r="I11" t="s">
        <v>410</v>
      </c>
      <c r="K11" s="101" t="s">
        <v>393</v>
      </c>
      <c r="L11" s="97">
        <v>21</v>
      </c>
      <c r="M11" s="98">
        <v>1436.4</v>
      </c>
      <c r="N11" s="97"/>
    </row>
    <row r="12" spans="1:56" x14ac:dyDescent="0.3">
      <c r="A12" t="s">
        <v>132</v>
      </c>
      <c r="B12" t="s">
        <v>411</v>
      </c>
      <c r="C12" t="s">
        <v>412</v>
      </c>
      <c r="D12" s="97">
        <v>40</v>
      </c>
      <c r="E12" s="98">
        <v>26.75</v>
      </c>
      <c r="F12" s="98">
        <v>1070</v>
      </c>
      <c r="G12" t="s">
        <v>413</v>
      </c>
      <c r="H12" t="s">
        <v>396</v>
      </c>
      <c r="I12" t="s">
        <v>383</v>
      </c>
      <c r="K12" s="101" t="s">
        <v>389</v>
      </c>
      <c r="L12" s="97">
        <v>22</v>
      </c>
      <c r="M12" s="98">
        <v>3720</v>
      </c>
      <c r="N12" s="97"/>
    </row>
    <row r="13" spans="1:56" x14ac:dyDescent="0.3">
      <c r="A13" t="s">
        <v>397</v>
      </c>
      <c r="B13" t="s">
        <v>414</v>
      </c>
      <c r="C13" t="s">
        <v>415</v>
      </c>
      <c r="D13" s="97">
        <v>90</v>
      </c>
      <c r="E13" s="98">
        <v>6.5</v>
      </c>
      <c r="F13" s="98">
        <v>585</v>
      </c>
      <c r="G13" t="s">
        <v>416</v>
      </c>
      <c r="H13" t="s">
        <v>401</v>
      </c>
      <c r="I13" t="s">
        <v>388</v>
      </c>
      <c r="K13" s="101" t="s">
        <v>407</v>
      </c>
      <c r="L13" s="97">
        <v>27</v>
      </c>
      <c r="M13" s="98">
        <v>850.5</v>
      </c>
      <c r="N13" s="97"/>
    </row>
    <row r="14" spans="1:56" x14ac:dyDescent="0.3">
      <c r="A14" t="s">
        <v>129</v>
      </c>
      <c r="B14" t="s">
        <v>379</v>
      </c>
      <c r="C14" t="s">
        <v>417</v>
      </c>
      <c r="D14" s="97">
        <v>22</v>
      </c>
      <c r="E14" s="98">
        <v>149.99</v>
      </c>
      <c r="F14" s="98">
        <v>3299.78</v>
      </c>
      <c r="G14" t="s">
        <v>418</v>
      </c>
      <c r="H14" t="s">
        <v>382</v>
      </c>
      <c r="I14" t="s">
        <v>383</v>
      </c>
      <c r="K14" s="101" t="s">
        <v>414</v>
      </c>
      <c r="L14" s="97">
        <v>95</v>
      </c>
      <c r="M14" s="98">
        <v>456</v>
      </c>
      <c r="N14" s="97"/>
    </row>
    <row r="15" spans="1:56" x14ac:dyDescent="0.3">
      <c r="A15" t="s">
        <v>130</v>
      </c>
      <c r="B15" t="s">
        <v>384</v>
      </c>
      <c r="C15" t="s">
        <v>419</v>
      </c>
      <c r="D15" s="97">
        <v>14</v>
      </c>
      <c r="E15" s="98">
        <v>129</v>
      </c>
      <c r="F15" s="98">
        <v>1806</v>
      </c>
      <c r="G15" t="s">
        <v>386</v>
      </c>
      <c r="H15" t="s">
        <v>392</v>
      </c>
      <c r="I15" t="s">
        <v>410</v>
      </c>
      <c r="K15" s="101" t="s">
        <v>411</v>
      </c>
      <c r="L15" s="97">
        <v>33</v>
      </c>
      <c r="M15" s="98">
        <v>1319.67</v>
      </c>
      <c r="N15" s="97"/>
    </row>
    <row r="16" spans="1:56" x14ac:dyDescent="0.3">
      <c r="A16" t="s">
        <v>131</v>
      </c>
      <c r="B16" t="s">
        <v>389</v>
      </c>
      <c r="C16" t="s">
        <v>420</v>
      </c>
      <c r="D16" s="97">
        <v>10</v>
      </c>
      <c r="E16" s="98">
        <v>210</v>
      </c>
      <c r="F16" s="98">
        <v>2100</v>
      </c>
      <c r="G16" t="s">
        <v>391</v>
      </c>
      <c r="H16" t="s">
        <v>387</v>
      </c>
      <c r="I16" t="s">
        <v>383</v>
      </c>
      <c r="K16" s="100" t="s">
        <v>129</v>
      </c>
      <c r="L16" s="97">
        <v>184</v>
      </c>
      <c r="M16" s="98">
        <v>9710.43</v>
      </c>
      <c r="N16" s="97"/>
    </row>
    <row r="17" spans="1:15" x14ac:dyDescent="0.3">
      <c r="A17" t="s">
        <v>132</v>
      </c>
      <c r="B17" t="s">
        <v>393</v>
      </c>
      <c r="C17" t="s">
        <v>421</v>
      </c>
      <c r="D17" s="97">
        <v>25</v>
      </c>
      <c r="E17" s="98">
        <v>95</v>
      </c>
      <c r="F17" s="98">
        <v>2375</v>
      </c>
      <c r="G17" t="s">
        <v>395</v>
      </c>
      <c r="H17" t="s">
        <v>382</v>
      </c>
      <c r="I17" t="s">
        <v>383</v>
      </c>
      <c r="K17" s="101" t="s">
        <v>404</v>
      </c>
      <c r="L17" s="97">
        <v>16</v>
      </c>
      <c r="M17" s="98">
        <v>712</v>
      </c>
      <c r="N17" s="97"/>
    </row>
    <row r="18" spans="1:15" x14ac:dyDescent="0.3">
      <c r="A18" t="s">
        <v>397</v>
      </c>
      <c r="B18" t="s">
        <v>398</v>
      </c>
      <c r="C18" t="s">
        <v>422</v>
      </c>
      <c r="D18" s="97">
        <v>60</v>
      </c>
      <c r="E18" s="98">
        <v>14.25</v>
      </c>
      <c r="F18" s="98">
        <v>855</v>
      </c>
      <c r="G18" t="s">
        <v>400</v>
      </c>
      <c r="H18" t="s">
        <v>396</v>
      </c>
      <c r="I18" t="s">
        <v>402</v>
      </c>
      <c r="K18" s="101" t="s">
        <v>379</v>
      </c>
      <c r="L18" s="97">
        <v>129</v>
      </c>
      <c r="M18" s="98">
        <v>6698.71</v>
      </c>
      <c r="N18" s="97"/>
    </row>
    <row r="19" spans="1:15" x14ac:dyDescent="0.3">
      <c r="A19" t="s">
        <v>129</v>
      </c>
      <c r="B19" t="s">
        <v>404</v>
      </c>
      <c r="C19" t="s">
        <v>423</v>
      </c>
      <c r="D19" s="97">
        <v>16</v>
      </c>
      <c r="E19" s="98">
        <v>44.5</v>
      </c>
      <c r="F19" s="98">
        <v>712</v>
      </c>
      <c r="G19" t="s">
        <v>406</v>
      </c>
      <c r="H19" t="s">
        <v>401</v>
      </c>
      <c r="I19" t="s">
        <v>383</v>
      </c>
      <c r="K19" s="101" t="s">
        <v>384</v>
      </c>
      <c r="L19" s="97">
        <v>28</v>
      </c>
      <c r="M19" s="98">
        <v>979.72</v>
      </c>
      <c r="N19" s="97"/>
    </row>
    <row r="20" spans="1:15" x14ac:dyDescent="0.3">
      <c r="A20" t="s">
        <v>130</v>
      </c>
      <c r="B20" t="s">
        <v>407</v>
      </c>
      <c r="C20" t="s">
        <v>424</v>
      </c>
      <c r="D20" s="97">
        <v>13</v>
      </c>
      <c r="E20" s="98">
        <v>78</v>
      </c>
      <c r="F20" s="98">
        <v>1014</v>
      </c>
      <c r="G20" t="s">
        <v>409</v>
      </c>
      <c r="H20" t="s">
        <v>387</v>
      </c>
      <c r="I20" t="s">
        <v>410</v>
      </c>
      <c r="K20" s="101" t="s">
        <v>407</v>
      </c>
      <c r="L20" s="97">
        <v>11</v>
      </c>
      <c r="M20" s="98">
        <v>1320</v>
      </c>
      <c r="N20" s="97"/>
    </row>
    <row r="21" spans="1:15" x14ac:dyDescent="0.3">
      <c r="A21" t="s">
        <v>131</v>
      </c>
      <c r="B21" t="s">
        <v>411</v>
      </c>
      <c r="C21" t="s">
        <v>425</v>
      </c>
      <c r="D21" s="97">
        <v>33</v>
      </c>
      <c r="E21" s="98">
        <v>39.99</v>
      </c>
      <c r="F21" s="98">
        <v>1319.67</v>
      </c>
      <c r="G21" t="s">
        <v>413</v>
      </c>
      <c r="H21" t="s">
        <v>382</v>
      </c>
      <c r="I21" t="s">
        <v>383</v>
      </c>
      <c r="K21" s="100" t="s">
        <v>130</v>
      </c>
      <c r="L21" s="97">
        <v>120</v>
      </c>
      <c r="M21" s="98">
        <v>8295</v>
      </c>
      <c r="N21" s="97"/>
      <c r="O21" s="98"/>
    </row>
    <row r="22" spans="1:15" x14ac:dyDescent="0.3">
      <c r="A22" t="s">
        <v>132</v>
      </c>
      <c r="B22" t="s">
        <v>414</v>
      </c>
      <c r="C22" t="s">
        <v>426</v>
      </c>
      <c r="D22" s="97">
        <v>48</v>
      </c>
      <c r="E22" s="98">
        <v>12.75</v>
      </c>
      <c r="F22" s="98">
        <v>612</v>
      </c>
      <c r="G22" t="s">
        <v>416</v>
      </c>
      <c r="H22" t="s">
        <v>396</v>
      </c>
      <c r="I22" t="s">
        <v>388</v>
      </c>
      <c r="K22" s="101" t="s">
        <v>404</v>
      </c>
      <c r="L22" s="97">
        <v>30</v>
      </c>
      <c r="M22" s="98">
        <v>1740</v>
      </c>
      <c r="N22" s="97"/>
      <c r="O22" s="98"/>
    </row>
    <row r="23" spans="1:15" x14ac:dyDescent="0.3">
      <c r="A23" t="s">
        <v>397</v>
      </c>
      <c r="B23" t="s">
        <v>379</v>
      </c>
      <c r="C23" t="s">
        <v>427</v>
      </c>
      <c r="D23" s="97">
        <v>70</v>
      </c>
      <c r="E23" s="98">
        <v>18.5</v>
      </c>
      <c r="F23" s="98">
        <v>1295</v>
      </c>
      <c r="G23" t="s">
        <v>418</v>
      </c>
      <c r="H23" t="s">
        <v>382</v>
      </c>
      <c r="I23" t="s">
        <v>383</v>
      </c>
      <c r="K23" s="101" t="s">
        <v>389</v>
      </c>
      <c r="L23" s="97">
        <v>9</v>
      </c>
      <c r="M23" s="98">
        <v>1575</v>
      </c>
      <c r="N23" s="97"/>
      <c r="O23" s="98"/>
    </row>
    <row r="24" spans="1:15" x14ac:dyDescent="0.3">
      <c r="A24" t="s">
        <v>129</v>
      </c>
      <c r="B24" t="s">
        <v>384</v>
      </c>
      <c r="C24" t="s">
        <v>428</v>
      </c>
      <c r="D24" s="97">
        <v>28</v>
      </c>
      <c r="E24" s="98">
        <v>34.99</v>
      </c>
      <c r="F24" s="98">
        <v>979.72</v>
      </c>
      <c r="G24" t="s">
        <v>381</v>
      </c>
      <c r="H24" t="s">
        <v>387</v>
      </c>
      <c r="I24" t="s">
        <v>383</v>
      </c>
      <c r="K24" s="101" t="s">
        <v>384</v>
      </c>
      <c r="L24" s="97">
        <v>32</v>
      </c>
      <c r="M24" s="98">
        <v>3417</v>
      </c>
      <c r="N24" s="97"/>
      <c r="O24" s="98"/>
    </row>
    <row r="25" spans="1:15" x14ac:dyDescent="0.3">
      <c r="A25" t="s">
        <v>130</v>
      </c>
      <c r="B25" t="s">
        <v>389</v>
      </c>
      <c r="C25" t="s">
        <v>429</v>
      </c>
      <c r="D25" s="97">
        <v>9</v>
      </c>
      <c r="E25" s="98">
        <v>175</v>
      </c>
      <c r="F25" s="98">
        <v>1575</v>
      </c>
      <c r="G25" t="s">
        <v>391</v>
      </c>
      <c r="H25" t="s">
        <v>392</v>
      </c>
      <c r="I25" t="s">
        <v>410</v>
      </c>
      <c r="K25" s="101" t="s">
        <v>407</v>
      </c>
      <c r="L25" s="97">
        <v>13</v>
      </c>
      <c r="M25" s="98">
        <v>1014</v>
      </c>
      <c r="N25" s="97"/>
      <c r="O25" s="98"/>
    </row>
    <row r="26" spans="1:15" x14ac:dyDescent="0.3">
      <c r="A26" t="s">
        <v>131</v>
      </c>
      <c r="B26" t="s">
        <v>393</v>
      </c>
      <c r="C26" t="s">
        <v>430</v>
      </c>
      <c r="D26" s="97">
        <v>21</v>
      </c>
      <c r="E26" s="98">
        <v>68.400000000000006</v>
      </c>
      <c r="F26" s="98">
        <v>1436.4</v>
      </c>
      <c r="G26" t="s">
        <v>395</v>
      </c>
      <c r="H26" t="s">
        <v>401</v>
      </c>
      <c r="I26" t="s">
        <v>383</v>
      </c>
      <c r="K26" s="101" t="s">
        <v>411</v>
      </c>
      <c r="L26" s="97">
        <v>36</v>
      </c>
      <c r="M26" s="98">
        <v>549</v>
      </c>
      <c r="N26" s="97"/>
      <c r="O26" s="98"/>
    </row>
    <row r="27" spans="1:15" x14ac:dyDescent="0.3">
      <c r="A27" t="s">
        <v>132</v>
      </c>
      <c r="B27" t="s">
        <v>398</v>
      </c>
      <c r="C27" t="s">
        <v>431</v>
      </c>
      <c r="D27" s="97">
        <v>75</v>
      </c>
      <c r="E27" s="98">
        <v>16.8</v>
      </c>
      <c r="F27" s="98">
        <v>1260</v>
      </c>
      <c r="G27" t="s">
        <v>400</v>
      </c>
      <c r="H27" t="s">
        <v>396</v>
      </c>
      <c r="I27" t="s">
        <v>402</v>
      </c>
      <c r="K27" s="100" t="s">
        <v>132</v>
      </c>
      <c r="L27" s="97">
        <v>274</v>
      </c>
      <c r="M27" s="98">
        <v>10000.65</v>
      </c>
      <c r="N27" s="97"/>
      <c r="O27" s="98"/>
    </row>
    <row r="28" spans="1:15" x14ac:dyDescent="0.3">
      <c r="A28" t="s">
        <v>397</v>
      </c>
      <c r="B28" t="s">
        <v>404</v>
      </c>
      <c r="C28" t="s">
        <v>432</v>
      </c>
      <c r="D28" s="97">
        <v>19</v>
      </c>
      <c r="E28" s="98">
        <v>82.5</v>
      </c>
      <c r="F28" s="98">
        <v>1567.5</v>
      </c>
      <c r="G28" t="s">
        <v>406</v>
      </c>
      <c r="H28" t="s">
        <v>382</v>
      </c>
      <c r="I28" t="s">
        <v>383</v>
      </c>
      <c r="K28" s="101" t="s">
        <v>379</v>
      </c>
      <c r="L28" s="97">
        <v>31</v>
      </c>
      <c r="M28" s="98">
        <v>709.9</v>
      </c>
      <c r="N28" s="97"/>
      <c r="O28" s="98"/>
    </row>
    <row r="29" spans="1:15" x14ac:dyDescent="0.3">
      <c r="A29" t="s">
        <v>129</v>
      </c>
      <c r="B29" t="s">
        <v>407</v>
      </c>
      <c r="C29" t="s">
        <v>433</v>
      </c>
      <c r="D29" s="97">
        <v>11</v>
      </c>
      <c r="E29" s="98">
        <v>120</v>
      </c>
      <c r="F29" s="98">
        <v>1320</v>
      </c>
      <c r="G29" t="s">
        <v>409</v>
      </c>
      <c r="H29" t="s">
        <v>387</v>
      </c>
      <c r="I29" t="s">
        <v>383</v>
      </c>
      <c r="K29" s="101" t="s">
        <v>393</v>
      </c>
      <c r="L29" s="97">
        <v>80</v>
      </c>
      <c r="M29" s="98">
        <v>6348.75</v>
      </c>
      <c r="N29" s="97"/>
      <c r="O29" s="98"/>
    </row>
    <row r="30" spans="1:15" x14ac:dyDescent="0.3">
      <c r="A30" t="s">
        <v>130</v>
      </c>
      <c r="B30" t="s">
        <v>411</v>
      </c>
      <c r="C30" t="s">
        <v>434</v>
      </c>
      <c r="D30" s="97">
        <v>36</v>
      </c>
      <c r="E30" s="98">
        <v>15.25</v>
      </c>
      <c r="F30" s="98">
        <v>549</v>
      </c>
      <c r="G30" t="s">
        <v>413</v>
      </c>
      <c r="H30" t="s">
        <v>382</v>
      </c>
      <c r="I30" t="s">
        <v>388</v>
      </c>
      <c r="K30" s="101" t="s">
        <v>398</v>
      </c>
      <c r="L30" s="97">
        <v>75</v>
      </c>
      <c r="M30" s="98">
        <v>1260</v>
      </c>
      <c r="N30" s="97"/>
      <c r="O30" s="98"/>
    </row>
    <row r="31" spans="1:15" x14ac:dyDescent="0.3">
      <c r="A31" t="s">
        <v>131</v>
      </c>
      <c r="B31" t="s">
        <v>414</v>
      </c>
      <c r="C31" t="s">
        <v>435</v>
      </c>
      <c r="D31" s="97">
        <v>95</v>
      </c>
      <c r="E31" s="98">
        <v>4.8</v>
      </c>
      <c r="F31" s="98">
        <v>456</v>
      </c>
      <c r="G31" t="s">
        <v>416</v>
      </c>
      <c r="H31" t="s">
        <v>396</v>
      </c>
      <c r="I31" t="s">
        <v>383</v>
      </c>
      <c r="K31" s="101" t="s">
        <v>414</v>
      </c>
      <c r="L31" s="97">
        <v>48</v>
      </c>
      <c r="M31" s="98">
        <v>612</v>
      </c>
      <c r="N31" s="97"/>
      <c r="O31" s="98"/>
    </row>
    <row r="32" spans="1:15" x14ac:dyDescent="0.3">
      <c r="A32" t="s">
        <v>132</v>
      </c>
      <c r="B32" t="s">
        <v>379</v>
      </c>
      <c r="C32" t="s">
        <v>436</v>
      </c>
      <c r="D32" s="97">
        <v>31</v>
      </c>
      <c r="E32" s="98">
        <v>22.9</v>
      </c>
      <c r="F32" s="98">
        <v>709.9</v>
      </c>
      <c r="G32" t="s">
        <v>418</v>
      </c>
      <c r="H32" t="s">
        <v>401</v>
      </c>
      <c r="I32" t="s">
        <v>410</v>
      </c>
      <c r="K32" s="101" t="s">
        <v>411</v>
      </c>
      <c r="L32" s="97">
        <v>40</v>
      </c>
      <c r="M32" s="98">
        <v>1070</v>
      </c>
      <c r="N32" s="97"/>
      <c r="O32" s="98"/>
    </row>
    <row r="33" spans="1:15" x14ac:dyDescent="0.3">
      <c r="A33" t="s">
        <v>397</v>
      </c>
      <c r="B33" t="s">
        <v>384</v>
      </c>
      <c r="C33" t="s">
        <v>437</v>
      </c>
      <c r="D33" s="97">
        <v>20</v>
      </c>
      <c r="E33" s="98">
        <v>41.75</v>
      </c>
      <c r="F33" s="98">
        <v>835</v>
      </c>
      <c r="G33" t="s">
        <v>386</v>
      </c>
      <c r="H33" t="s">
        <v>387</v>
      </c>
      <c r="I33" t="s">
        <v>383</v>
      </c>
      <c r="K33" s="100" t="s">
        <v>438</v>
      </c>
      <c r="L33" s="97">
        <v>1115</v>
      </c>
      <c r="M33" s="98">
        <v>42906.15</v>
      </c>
      <c r="N33" s="97"/>
      <c r="O33" s="98"/>
    </row>
    <row r="34" spans="1:15" x14ac:dyDescent="0.3">
      <c r="N34" s="97"/>
      <c r="O34" s="98"/>
    </row>
    <row r="35" spans="1:15" x14ac:dyDescent="0.3">
      <c r="N35" s="97"/>
      <c r="O35" s="98"/>
    </row>
    <row r="36" spans="1:15" x14ac:dyDescent="0.3">
      <c r="N36" s="97"/>
      <c r="O36" s="98"/>
    </row>
    <row r="37" spans="1:15" x14ac:dyDescent="0.3">
      <c r="N37" s="97"/>
      <c r="O37" s="98"/>
    </row>
    <row r="38" spans="1:15" x14ac:dyDescent="0.3">
      <c r="N38" s="97"/>
      <c r="O38" s="98"/>
    </row>
    <row r="39" spans="1:15" x14ac:dyDescent="0.3">
      <c r="N39" s="97"/>
      <c r="O39" s="98"/>
    </row>
    <row r="40" spans="1:15" x14ac:dyDescent="0.3">
      <c r="N40" s="97"/>
      <c r="O40" s="98"/>
    </row>
  </sheetData>
  <pageMargins left="0.7" right="0.7" top="0.75" bottom="0.75" header="0.3" footer="0.3"/>
  <tableParts count="5">
    <tablePart r:id="rId2"/>
    <tablePart r:id="rId3"/>
    <tablePart r:id="rId4"/>
    <tablePart r:id="rId5"/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672F-1537-43AB-88C1-1186BBCD2AA7}">
  <sheetPr>
    <tabColor rgb="FFD9EAD3"/>
  </sheetPr>
  <dimension ref="A2:AI49"/>
  <sheetViews>
    <sheetView topLeftCell="A5" zoomScale="51" zoomScaleNormal="69" workbookViewId="0">
      <pane xSplit="1" ySplit="1" topLeftCell="B6" activePane="bottomRight" state="frozen"/>
      <selection activeCell="A5" sqref="A5"/>
      <selection pane="topRight" activeCell="B5" sqref="B5"/>
      <selection pane="bottomLeft" activeCell="A6" sqref="A6"/>
      <selection pane="bottomRight" activeCell="Q10" sqref="Q10"/>
    </sheetView>
  </sheetViews>
  <sheetFormatPr defaultRowHeight="14.4" x14ac:dyDescent="0.3"/>
  <cols>
    <col min="1" max="1" width="20.44140625" bestFit="1" customWidth="1"/>
    <col min="2" max="2" width="17.33203125" bestFit="1" customWidth="1"/>
    <col min="3" max="6" width="10.44140625" bestFit="1" customWidth="1"/>
    <col min="7" max="7" width="19.5546875" bestFit="1" customWidth="1"/>
    <col min="8" max="8" width="21.109375" bestFit="1" customWidth="1"/>
    <col min="9" max="9" width="16.88671875" bestFit="1" customWidth="1"/>
    <col min="10" max="10" width="25.21875" bestFit="1" customWidth="1"/>
    <col min="11" max="11" width="13.5546875" bestFit="1" customWidth="1"/>
    <col min="12" max="12" width="20.5546875" bestFit="1" customWidth="1"/>
    <col min="13" max="13" width="14.88671875" bestFit="1" customWidth="1"/>
    <col min="14" max="14" width="21.44140625" bestFit="1" customWidth="1"/>
    <col min="15" max="15" width="18.109375" bestFit="1" customWidth="1"/>
    <col min="16" max="16" width="16.33203125" bestFit="1" customWidth="1"/>
    <col min="17" max="17" width="15.6640625" bestFit="1" customWidth="1"/>
    <col min="18" max="32" width="10.77734375" bestFit="1" customWidth="1"/>
    <col min="33" max="33" width="18.33203125" customWidth="1"/>
    <col min="34" max="34" width="17.6640625" customWidth="1"/>
    <col min="35" max="35" width="15.88671875" customWidth="1"/>
  </cols>
  <sheetData>
    <row r="2" spans="1:17" ht="28.8" x14ac:dyDescent="0.55000000000000004">
      <c r="A2" s="68"/>
      <c r="B2" s="68"/>
      <c r="C2" s="68"/>
      <c r="D2" s="68"/>
      <c r="E2" s="68"/>
      <c r="F2" s="68"/>
      <c r="G2" s="68"/>
      <c r="H2" s="68"/>
      <c r="I2" s="68" t="s">
        <v>297</v>
      </c>
      <c r="J2" s="68"/>
      <c r="K2" s="68"/>
      <c r="L2" s="68"/>
      <c r="M2" s="68"/>
      <c r="N2" s="68"/>
      <c r="O2" s="68"/>
      <c r="P2" s="68"/>
      <c r="Q2" s="68"/>
    </row>
    <row r="4" spans="1:17" x14ac:dyDescent="0.3">
      <c r="A4" s="77" t="s">
        <v>298</v>
      </c>
      <c r="B4" s="78" t="s">
        <v>299</v>
      </c>
      <c r="C4" s="78" t="s">
        <v>300</v>
      </c>
      <c r="D4" s="78" t="s">
        <v>301</v>
      </c>
      <c r="E4" s="78" t="s">
        <v>302</v>
      </c>
      <c r="F4" s="78" t="s">
        <v>303</v>
      </c>
      <c r="G4" s="78" t="s">
        <v>304</v>
      </c>
      <c r="H4" s="78" t="s">
        <v>305</v>
      </c>
      <c r="I4" s="78" t="s">
        <v>306</v>
      </c>
      <c r="J4" s="78" t="s">
        <v>307</v>
      </c>
      <c r="K4" s="78" t="s">
        <v>308</v>
      </c>
      <c r="L4" s="78" t="s">
        <v>309</v>
      </c>
      <c r="M4" s="78" t="s">
        <v>310</v>
      </c>
      <c r="N4" s="78" t="s">
        <v>311</v>
      </c>
      <c r="O4" s="78" t="s">
        <v>312</v>
      </c>
      <c r="P4" s="78" t="s">
        <v>313</v>
      </c>
      <c r="Q4" s="79" t="s">
        <v>314</v>
      </c>
    </row>
    <row r="5" spans="1:17" x14ac:dyDescent="0.3">
      <c r="A5" s="80" t="s">
        <v>44</v>
      </c>
      <c r="B5" s="81">
        <v>150000</v>
      </c>
      <c r="C5" s="81">
        <f t="shared" ref="C5" si="0">B5*10%</f>
        <v>15000</v>
      </c>
      <c r="D5" s="81">
        <f t="shared" ref="D5" si="1">B5*8%</f>
        <v>12000</v>
      </c>
      <c r="E5" s="81">
        <f t="shared" ref="E5" si="2">B5*5%</f>
        <v>7500</v>
      </c>
      <c r="F5" s="81">
        <f t="shared" ref="F5" si="3">B5*12%</f>
        <v>18000</v>
      </c>
      <c r="G5" s="81">
        <f t="shared" ref="G5" si="4">B5/30</f>
        <v>5000</v>
      </c>
      <c r="H5" s="81">
        <f t="shared" ref="H5" si="5">B5/12</f>
        <v>12500</v>
      </c>
      <c r="I5" s="82">
        <f t="shared" ref="I5" si="6">COUNTIF(B32:AF32,"L")</f>
        <v>0</v>
      </c>
      <c r="J5" s="81">
        <f t="shared" ref="J5" si="7">I5*G5</f>
        <v>0</v>
      </c>
      <c r="K5" s="82">
        <f t="shared" ref="K5" si="8">COUNTIF(B32:AF32,"H")</f>
        <v>0</v>
      </c>
      <c r="L5" s="81">
        <f t="shared" ref="L5" si="9">K5*G5/2</f>
        <v>0</v>
      </c>
      <c r="M5" s="82">
        <f t="shared" ref="M5" si="10">COUNTIF(B32:AF32,"OT")</f>
        <v>0</v>
      </c>
      <c r="N5" s="81">
        <f t="shared" ref="N5" si="11">M5*H5</f>
        <v>0</v>
      </c>
      <c r="O5" s="81">
        <f t="shared" ref="O5" si="12">N5-J5-L5</f>
        <v>0</v>
      </c>
      <c r="P5" s="81">
        <f t="shared" ref="P5" si="13">B5*12%</f>
        <v>18000</v>
      </c>
      <c r="Q5" s="83">
        <f t="shared" ref="Q5" si="14">B5-P5</f>
        <v>132000</v>
      </c>
    </row>
    <row r="6" spans="1:17" x14ac:dyDescent="0.3">
      <c r="A6" s="84" t="s">
        <v>315</v>
      </c>
      <c r="B6" s="85">
        <v>200000</v>
      </c>
      <c r="C6" s="85">
        <f t="shared" ref="C6:C22" si="15">B6*10%</f>
        <v>20000</v>
      </c>
      <c r="D6" s="85">
        <f t="shared" ref="D6:D22" si="16">B6*8%</f>
        <v>16000</v>
      </c>
      <c r="E6" s="85">
        <f t="shared" ref="E6:E22" si="17">B6*5%</f>
        <v>10000</v>
      </c>
      <c r="F6" s="85">
        <f t="shared" ref="F6:F22" si="18">B6*12%</f>
        <v>24000</v>
      </c>
      <c r="G6" s="85">
        <f t="shared" ref="G6:G22" si="19">B6/30</f>
        <v>6666.666666666667</v>
      </c>
      <c r="H6" s="85">
        <f t="shared" ref="H6:H22" si="20">B6/12</f>
        <v>16666.666666666668</v>
      </c>
      <c r="I6" s="86">
        <f t="shared" ref="I6:I22" si="21">COUNTIF(B33:AF33,"L")</f>
        <v>0</v>
      </c>
      <c r="J6" s="85">
        <f t="shared" ref="J6:J22" si="22">I6*G6</f>
        <v>0</v>
      </c>
      <c r="K6" s="86">
        <f t="shared" ref="K6:K22" si="23">COUNTIF(B33:AF33,"H")</f>
        <v>0</v>
      </c>
      <c r="L6" s="85">
        <f t="shared" ref="L6:L22" si="24">K6*G6/2</f>
        <v>0</v>
      </c>
      <c r="M6" s="86">
        <f t="shared" ref="M6:M22" si="25">COUNTIF(B33:AF33,"OT")</f>
        <v>0</v>
      </c>
      <c r="N6" s="85">
        <f t="shared" ref="N6:N22" si="26">M6*H6</f>
        <v>0</v>
      </c>
      <c r="O6" s="85">
        <f t="shared" ref="O6:O22" si="27">N6-J6-L6</f>
        <v>0</v>
      </c>
      <c r="P6" s="85">
        <f t="shared" ref="P6:P22" si="28">B6*12%</f>
        <v>24000</v>
      </c>
      <c r="Q6" s="87">
        <f t="shared" ref="Q6:Q22" si="29">B6-P6</f>
        <v>176000</v>
      </c>
    </row>
    <row r="7" spans="1:17" x14ac:dyDescent="0.3">
      <c r="A7" s="80" t="s">
        <v>316</v>
      </c>
      <c r="B7" s="81">
        <v>90000</v>
      </c>
      <c r="C7" s="81">
        <f t="shared" si="15"/>
        <v>9000</v>
      </c>
      <c r="D7" s="81">
        <f t="shared" si="16"/>
        <v>7200</v>
      </c>
      <c r="E7" s="81">
        <f t="shared" si="17"/>
        <v>4500</v>
      </c>
      <c r="F7" s="81">
        <f t="shared" si="18"/>
        <v>10800</v>
      </c>
      <c r="G7" s="81">
        <f t="shared" si="19"/>
        <v>3000</v>
      </c>
      <c r="H7" s="81">
        <f t="shared" si="20"/>
        <v>7500</v>
      </c>
      <c r="I7" s="82">
        <f t="shared" si="21"/>
        <v>0</v>
      </c>
      <c r="J7" s="81">
        <f t="shared" si="22"/>
        <v>0</v>
      </c>
      <c r="K7" s="82">
        <f t="shared" si="23"/>
        <v>0</v>
      </c>
      <c r="L7" s="81">
        <f t="shared" si="24"/>
        <v>0</v>
      </c>
      <c r="M7" s="82">
        <f t="shared" si="25"/>
        <v>0</v>
      </c>
      <c r="N7" s="81">
        <f t="shared" si="26"/>
        <v>0</v>
      </c>
      <c r="O7" s="81">
        <f t="shared" si="27"/>
        <v>0</v>
      </c>
      <c r="P7" s="81">
        <f t="shared" si="28"/>
        <v>10800</v>
      </c>
      <c r="Q7" s="83">
        <f t="shared" si="29"/>
        <v>79200</v>
      </c>
    </row>
    <row r="8" spans="1:17" x14ac:dyDescent="0.3">
      <c r="A8" s="84" t="s">
        <v>317</v>
      </c>
      <c r="B8" s="85">
        <v>80000</v>
      </c>
      <c r="C8" s="85">
        <f t="shared" si="15"/>
        <v>8000</v>
      </c>
      <c r="D8" s="85">
        <f t="shared" si="16"/>
        <v>6400</v>
      </c>
      <c r="E8" s="85">
        <f t="shared" si="17"/>
        <v>4000</v>
      </c>
      <c r="F8" s="85">
        <f t="shared" si="18"/>
        <v>9600</v>
      </c>
      <c r="G8" s="85">
        <f t="shared" si="19"/>
        <v>2666.6666666666665</v>
      </c>
      <c r="H8" s="85">
        <f t="shared" si="20"/>
        <v>6666.666666666667</v>
      </c>
      <c r="I8" s="86">
        <f t="shared" si="21"/>
        <v>0</v>
      </c>
      <c r="J8" s="85">
        <f t="shared" si="22"/>
        <v>0</v>
      </c>
      <c r="K8" s="86">
        <f t="shared" si="23"/>
        <v>0</v>
      </c>
      <c r="L8" s="85">
        <f t="shared" si="24"/>
        <v>0</v>
      </c>
      <c r="M8" s="86">
        <f t="shared" si="25"/>
        <v>0</v>
      </c>
      <c r="N8" s="85">
        <f t="shared" si="26"/>
        <v>0</v>
      </c>
      <c r="O8" s="85">
        <f t="shared" si="27"/>
        <v>0</v>
      </c>
      <c r="P8" s="85">
        <f t="shared" si="28"/>
        <v>9600</v>
      </c>
      <c r="Q8" s="87">
        <f t="shared" si="29"/>
        <v>70400</v>
      </c>
    </row>
    <row r="9" spans="1:17" x14ac:dyDescent="0.3">
      <c r="A9" s="80" t="s">
        <v>318</v>
      </c>
      <c r="B9" s="81">
        <v>60000</v>
      </c>
      <c r="C9" s="81">
        <f t="shared" si="15"/>
        <v>6000</v>
      </c>
      <c r="D9" s="81">
        <f t="shared" si="16"/>
        <v>4800</v>
      </c>
      <c r="E9" s="81">
        <f t="shared" si="17"/>
        <v>3000</v>
      </c>
      <c r="F9" s="81">
        <f t="shared" si="18"/>
        <v>7200</v>
      </c>
      <c r="G9" s="81">
        <f t="shared" si="19"/>
        <v>2000</v>
      </c>
      <c r="H9" s="81">
        <f t="shared" si="20"/>
        <v>5000</v>
      </c>
      <c r="I9" s="82">
        <f t="shared" si="21"/>
        <v>1</v>
      </c>
      <c r="J9" s="81">
        <f t="shared" si="22"/>
        <v>2000</v>
      </c>
      <c r="K9" s="82">
        <f t="shared" si="23"/>
        <v>0</v>
      </c>
      <c r="L9" s="81">
        <f t="shared" si="24"/>
        <v>0</v>
      </c>
      <c r="M9" s="82">
        <f t="shared" si="25"/>
        <v>0</v>
      </c>
      <c r="N9" s="81">
        <f t="shared" si="26"/>
        <v>0</v>
      </c>
      <c r="O9" s="81">
        <f t="shared" si="27"/>
        <v>-2000</v>
      </c>
      <c r="P9" s="81">
        <f t="shared" si="28"/>
        <v>7200</v>
      </c>
      <c r="Q9" s="83">
        <f t="shared" si="29"/>
        <v>52800</v>
      </c>
    </row>
    <row r="10" spans="1:17" x14ac:dyDescent="0.3">
      <c r="A10" s="84" t="s">
        <v>319</v>
      </c>
      <c r="B10" s="85">
        <v>78905</v>
      </c>
      <c r="C10" s="85">
        <f t="shared" si="15"/>
        <v>7890.5</v>
      </c>
      <c r="D10" s="85">
        <f t="shared" si="16"/>
        <v>6312.4000000000005</v>
      </c>
      <c r="E10" s="85">
        <f t="shared" si="17"/>
        <v>3945.25</v>
      </c>
      <c r="F10" s="85">
        <f t="shared" si="18"/>
        <v>9468.6</v>
      </c>
      <c r="G10" s="85">
        <f t="shared" si="19"/>
        <v>2630.1666666666665</v>
      </c>
      <c r="H10" s="85">
        <f t="shared" si="20"/>
        <v>6575.416666666667</v>
      </c>
      <c r="I10" s="86">
        <f t="shared" si="21"/>
        <v>0</v>
      </c>
      <c r="J10" s="85">
        <f t="shared" si="22"/>
        <v>0</v>
      </c>
      <c r="K10" s="86">
        <f t="shared" si="23"/>
        <v>0</v>
      </c>
      <c r="L10" s="85">
        <f t="shared" si="24"/>
        <v>0</v>
      </c>
      <c r="M10" s="86">
        <f t="shared" si="25"/>
        <v>0</v>
      </c>
      <c r="N10" s="85">
        <f t="shared" si="26"/>
        <v>0</v>
      </c>
      <c r="O10" s="85">
        <f t="shared" si="27"/>
        <v>0</v>
      </c>
      <c r="P10" s="85">
        <f t="shared" si="28"/>
        <v>9468.6</v>
      </c>
      <c r="Q10" s="87">
        <f t="shared" si="29"/>
        <v>69436.399999999994</v>
      </c>
    </row>
    <row r="11" spans="1:17" x14ac:dyDescent="0.3">
      <c r="A11" s="80" t="s">
        <v>320</v>
      </c>
      <c r="B11" s="81">
        <v>45678</v>
      </c>
      <c r="C11" s="81">
        <f t="shared" si="15"/>
        <v>4567.8</v>
      </c>
      <c r="D11" s="81">
        <f t="shared" si="16"/>
        <v>3654.2400000000002</v>
      </c>
      <c r="E11" s="81">
        <f t="shared" si="17"/>
        <v>2283.9</v>
      </c>
      <c r="F11" s="81">
        <f t="shared" si="18"/>
        <v>5481.36</v>
      </c>
      <c r="G11" s="81">
        <f t="shared" si="19"/>
        <v>1522.6</v>
      </c>
      <c r="H11" s="81">
        <f t="shared" si="20"/>
        <v>3806.5</v>
      </c>
      <c r="I11" s="82">
        <f t="shared" si="21"/>
        <v>1</v>
      </c>
      <c r="J11" s="81">
        <f t="shared" si="22"/>
        <v>1522.6</v>
      </c>
      <c r="K11" s="82">
        <f t="shared" si="23"/>
        <v>0</v>
      </c>
      <c r="L11" s="81">
        <f t="shared" si="24"/>
        <v>0</v>
      </c>
      <c r="M11" s="82">
        <f t="shared" si="25"/>
        <v>0</v>
      </c>
      <c r="N11" s="81">
        <f t="shared" si="26"/>
        <v>0</v>
      </c>
      <c r="O11" s="81">
        <f t="shared" si="27"/>
        <v>-1522.6</v>
      </c>
      <c r="P11" s="81">
        <f t="shared" si="28"/>
        <v>5481.36</v>
      </c>
      <c r="Q11" s="83">
        <f t="shared" si="29"/>
        <v>40196.639999999999</v>
      </c>
    </row>
    <row r="12" spans="1:17" x14ac:dyDescent="0.3">
      <c r="A12" s="84" t="s">
        <v>321</v>
      </c>
      <c r="B12" s="85">
        <v>2345</v>
      </c>
      <c r="C12" s="85">
        <f t="shared" si="15"/>
        <v>234.5</v>
      </c>
      <c r="D12" s="85">
        <f t="shared" si="16"/>
        <v>187.6</v>
      </c>
      <c r="E12" s="85">
        <f t="shared" si="17"/>
        <v>117.25</v>
      </c>
      <c r="F12" s="85">
        <f t="shared" si="18"/>
        <v>281.39999999999998</v>
      </c>
      <c r="G12" s="85">
        <f t="shared" si="19"/>
        <v>78.166666666666671</v>
      </c>
      <c r="H12" s="85">
        <f t="shared" si="20"/>
        <v>195.41666666666666</v>
      </c>
      <c r="I12" s="86">
        <f t="shared" si="21"/>
        <v>0</v>
      </c>
      <c r="J12" s="85">
        <f t="shared" si="22"/>
        <v>0</v>
      </c>
      <c r="K12" s="86">
        <f t="shared" si="23"/>
        <v>0</v>
      </c>
      <c r="L12" s="85">
        <f t="shared" si="24"/>
        <v>0</v>
      </c>
      <c r="M12" s="86">
        <f t="shared" si="25"/>
        <v>0</v>
      </c>
      <c r="N12" s="85">
        <f t="shared" si="26"/>
        <v>0</v>
      </c>
      <c r="O12" s="85">
        <f t="shared" si="27"/>
        <v>0</v>
      </c>
      <c r="P12" s="85">
        <f t="shared" si="28"/>
        <v>281.39999999999998</v>
      </c>
      <c r="Q12" s="87">
        <f t="shared" si="29"/>
        <v>2063.6</v>
      </c>
    </row>
    <row r="13" spans="1:17" x14ac:dyDescent="0.3">
      <c r="A13" s="80" t="s">
        <v>322</v>
      </c>
      <c r="B13" s="81">
        <v>67890</v>
      </c>
      <c r="C13" s="81">
        <f t="shared" si="15"/>
        <v>6789</v>
      </c>
      <c r="D13" s="81">
        <f t="shared" si="16"/>
        <v>5431.2</v>
      </c>
      <c r="E13" s="81">
        <f t="shared" si="17"/>
        <v>3394.5</v>
      </c>
      <c r="F13" s="81">
        <f t="shared" si="18"/>
        <v>8146.7999999999993</v>
      </c>
      <c r="G13" s="81">
        <f t="shared" si="19"/>
        <v>2263</v>
      </c>
      <c r="H13" s="81">
        <f t="shared" si="20"/>
        <v>5657.5</v>
      </c>
      <c r="I13" s="82">
        <f t="shared" si="21"/>
        <v>1</v>
      </c>
      <c r="J13" s="81">
        <f t="shared" si="22"/>
        <v>2263</v>
      </c>
      <c r="K13" s="82">
        <f t="shared" si="23"/>
        <v>0</v>
      </c>
      <c r="L13" s="81">
        <f t="shared" si="24"/>
        <v>0</v>
      </c>
      <c r="M13" s="82">
        <f t="shared" si="25"/>
        <v>0</v>
      </c>
      <c r="N13" s="81">
        <f t="shared" si="26"/>
        <v>0</v>
      </c>
      <c r="O13" s="81">
        <f t="shared" si="27"/>
        <v>-2263</v>
      </c>
      <c r="P13" s="81">
        <f t="shared" si="28"/>
        <v>8146.7999999999993</v>
      </c>
      <c r="Q13" s="83">
        <f t="shared" si="29"/>
        <v>59743.199999999997</v>
      </c>
    </row>
    <row r="14" spans="1:17" x14ac:dyDescent="0.3">
      <c r="A14" s="84" t="s">
        <v>323</v>
      </c>
      <c r="B14" s="85">
        <v>70000</v>
      </c>
      <c r="C14" s="85">
        <f t="shared" si="15"/>
        <v>7000</v>
      </c>
      <c r="D14" s="85">
        <f t="shared" si="16"/>
        <v>5600</v>
      </c>
      <c r="E14" s="85">
        <f t="shared" si="17"/>
        <v>3500</v>
      </c>
      <c r="F14" s="85">
        <f t="shared" si="18"/>
        <v>8400</v>
      </c>
      <c r="G14" s="85">
        <f t="shared" si="19"/>
        <v>2333.3333333333335</v>
      </c>
      <c r="H14" s="85">
        <f t="shared" si="20"/>
        <v>5833.333333333333</v>
      </c>
      <c r="I14" s="86">
        <f t="shared" si="21"/>
        <v>2</v>
      </c>
      <c r="J14" s="85">
        <f t="shared" si="22"/>
        <v>4666.666666666667</v>
      </c>
      <c r="K14" s="86">
        <f t="shared" si="23"/>
        <v>0</v>
      </c>
      <c r="L14" s="85">
        <f t="shared" si="24"/>
        <v>0</v>
      </c>
      <c r="M14" s="86">
        <f t="shared" si="25"/>
        <v>0</v>
      </c>
      <c r="N14" s="85">
        <f t="shared" si="26"/>
        <v>0</v>
      </c>
      <c r="O14" s="85">
        <f t="shared" si="27"/>
        <v>-4666.666666666667</v>
      </c>
      <c r="P14" s="85">
        <f t="shared" si="28"/>
        <v>8400</v>
      </c>
      <c r="Q14" s="87">
        <f t="shared" si="29"/>
        <v>61600</v>
      </c>
    </row>
    <row r="15" spans="1:17" x14ac:dyDescent="0.3">
      <c r="A15" s="80" t="s">
        <v>324</v>
      </c>
      <c r="B15" s="81">
        <v>80000</v>
      </c>
      <c r="C15" s="81">
        <f t="shared" si="15"/>
        <v>8000</v>
      </c>
      <c r="D15" s="81">
        <f t="shared" si="16"/>
        <v>6400</v>
      </c>
      <c r="E15" s="81">
        <f t="shared" si="17"/>
        <v>4000</v>
      </c>
      <c r="F15" s="81">
        <f t="shared" si="18"/>
        <v>9600</v>
      </c>
      <c r="G15" s="81">
        <f t="shared" si="19"/>
        <v>2666.6666666666665</v>
      </c>
      <c r="H15" s="81">
        <f t="shared" si="20"/>
        <v>6666.666666666667</v>
      </c>
      <c r="I15" s="82">
        <f t="shared" si="21"/>
        <v>0</v>
      </c>
      <c r="J15" s="81">
        <f t="shared" si="22"/>
        <v>0</v>
      </c>
      <c r="K15" s="82">
        <f t="shared" si="23"/>
        <v>0</v>
      </c>
      <c r="L15" s="81">
        <f t="shared" si="24"/>
        <v>0</v>
      </c>
      <c r="M15" s="82">
        <f t="shared" si="25"/>
        <v>0</v>
      </c>
      <c r="N15" s="81">
        <f t="shared" si="26"/>
        <v>0</v>
      </c>
      <c r="O15" s="81">
        <f t="shared" si="27"/>
        <v>0</v>
      </c>
      <c r="P15" s="81">
        <f t="shared" si="28"/>
        <v>9600</v>
      </c>
      <c r="Q15" s="83">
        <f t="shared" si="29"/>
        <v>70400</v>
      </c>
    </row>
    <row r="16" spans="1:17" x14ac:dyDescent="0.3">
      <c r="A16" s="84" t="s">
        <v>325</v>
      </c>
      <c r="B16" s="85">
        <v>90000</v>
      </c>
      <c r="C16" s="85">
        <f t="shared" si="15"/>
        <v>9000</v>
      </c>
      <c r="D16" s="85">
        <f t="shared" si="16"/>
        <v>7200</v>
      </c>
      <c r="E16" s="85">
        <f t="shared" si="17"/>
        <v>4500</v>
      </c>
      <c r="F16" s="85">
        <f t="shared" si="18"/>
        <v>10800</v>
      </c>
      <c r="G16" s="85">
        <f t="shared" si="19"/>
        <v>3000</v>
      </c>
      <c r="H16" s="85">
        <f t="shared" si="20"/>
        <v>7500</v>
      </c>
      <c r="I16" s="86">
        <f t="shared" si="21"/>
        <v>1</v>
      </c>
      <c r="J16" s="85">
        <f t="shared" si="22"/>
        <v>3000</v>
      </c>
      <c r="K16" s="86">
        <f t="shared" si="23"/>
        <v>0</v>
      </c>
      <c r="L16" s="85">
        <f t="shared" si="24"/>
        <v>0</v>
      </c>
      <c r="M16" s="86">
        <f t="shared" si="25"/>
        <v>0</v>
      </c>
      <c r="N16" s="85">
        <f t="shared" si="26"/>
        <v>0</v>
      </c>
      <c r="O16" s="85">
        <f t="shared" si="27"/>
        <v>-3000</v>
      </c>
      <c r="P16" s="85">
        <f t="shared" si="28"/>
        <v>10800</v>
      </c>
      <c r="Q16" s="87">
        <f t="shared" si="29"/>
        <v>79200</v>
      </c>
    </row>
    <row r="17" spans="1:35" x14ac:dyDescent="0.3">
      <c r="A17" s="80" t="s">
        <v>326</v>
      </c>
      <c r="B17" s="81">
        <v>65000</v>
      </c>
      <c r="C17" s="81">
        <f t="shared" si="15"/>
        <v>6500</v>
      </c>
      <c r="D17" s="81">
        <f t="shared" si="16"/>
        <v>5200</v>
      </c>
      <c r="E17" s="81">
        <f t="shared" si="17"/>
        <v>3250</v>
      </c>
      <c r="F17" s="81">
        <f t="shared" si="18"/>
        <v>7800</v>
      </c>
      <c r="G17" s="81">
        <f t="shared" si="19"/>
        <v>2166.6666666666665</v>
      </c>
      <c r="H17" s="81">
        <f t="shared" si="20"/>
        <v>5416.666666666667</v>
      </c>
      <c r="I17" s="82">
        <f t="shared" si="21"/>
        <v>3</v>
      </c>
      <c r="J17" s="81">
        <f t="shared" si="22"/>
        <v>6500</v>
      </c>
      <c r="K17" s="82">
        <f t="shared" si="23"/>
        <v>0</v>
      </c>
      <c r="L17" s="81">
        <f t="shared" si="24"/>
        <v>0</v>
      </c>
      <c r="M17" s="82">
        <f t="shared" si="25"/>
        <v>0</v>
      </c>
      <c r="N17" s="81">
        <f t="shared" si="26"/>
        <v>0</v>
      </c>
      <c r="O17" s="81">
        <f t="shared" si="27"/>
        <v>-6500</v>
      </c>
      <c r="P17" s="81">
        <f t="shared" si="28"/>
        <v>7800</v>
      </c>
      <c r="Q17" s="83">
        <f t="shared" si="29"/>
        <v>57200</v>
      </c>
    </row>
    <row r="18" spans="1:35" x14ac:dyDescent="0.3">
      <c r="A18" s="84" t="s">
        <v>327</v>
      </c>
      <c r="B18" s="85">
        <v>467800</v>
      </c>
      <c r="C18" s="85">
        <f t="shared" si="15"/>
        <v>46780</v>
      </c>
      <c r="D18" s="85">
        <f t="shared" si="16"/>
        <v>37424</v>
      </c>
      <c r="E18" s="85">
        <f t="shared" si="17"/>
        <v>23390</v>
      </c>
      <c r="F18" s="85">
        <f t="shared" si="18"/>
        <v>56136</v>
      </c>
      <c r="G18" s="85">
        <f t="shared" si="19"/>
        <v>15593.333333333334</v>
      </c>
      <c r="H18" s="85">
        <f t="shared" si="20"/>
        <v>38983.333333333336</v>
      </c>
      <c r="I18" s="86">
        <f t="shared" si="21"/>
        <v>1</v>
      </c>
      <c r="J18" s="85">
        <f t="shared" si="22"/>
        <v>15593.333333333334</v>
      </c>
      <c r="K18" s="86">
        <f t="shared" si="23"/>
        <v>0</v>
      </c>
      <c r="L18" s="85">
        <f t="shared" si="24"/>
        <v>0</v>
      </c>
      <c r="M18" s="86">
        <f t="shared" si="25"/>
        <v>0</v>
      </c>
      <c r="N18" s="85">
        <f t="shared" si="26"/>
        <v>0</v>
      </c>
      <c r="O18" s="85">
        <f t="shared" si="27"/>
        <v>-15593.333333333334</v>
      </c>
      <c r="P18" s="85">
        <f t="shared" si="28"/>
        <v>56136</v>
      </c>
      <c r="Q18" s="87">
        <f t="shared" si="29"/>
        <v>411664</v>
      </c>
    </row>
    <row r="19" spans="1:35" x14ac:dyDescent="0.3">
      <c r="A19" s="80" t="s">
        <v>328</v>
      </c>
      <c r="B19" s="81">
        <v>234000</v>
      </c>
      <c r="C19" s="81">
        <f t="shared" si="15"/>
        <v>23400</v>
      </c>
      <c r="D19" s="81">
        <f t="shared" si="16"/>
        <v>18720</v>
      </c>
      <c r="E19" s="81">
        <f t="shared" si="17"/>
        <v>11700</v>
      </c>
      <c r="F19" s="81">
        <f t="shared" si="18"/>
        <v>28080</v>
      </c>
      <c r="G19" s="81">
        <f t="shared" si="19"/>
        <v>7800</v>
      </c>
      <c r="H19" s="81">
        <f t="shared" si="20"/>
        <v>19500</v>
      </c>
      <c r="I19" s="82">
        <f t="shared" si="21"/>
        <v>0</v>
      </c>
      <c r="J19" s="81">
        <f t="shared" si="22"/>
        <v>0</v>
      </c>
      <c r="K19" s="82">
        <f t="shared" si="23"/>
        <v>0</v>
      </c>
      <c r="L19" s="81">
        <f t="shared" si="24"/>
        <v>0</v>
      </c>
      <c r="M19" s="82">
        <f t="shared" si="25"/>
        <v>0</v>
      </c>
      <c r="N19" s="81">
        <f t="shared" si="26"/>
        <v>0</v>
      </c>
      <c r="O19" s="81">
        <f t="shared" si="27"/>
        <v>0</v>
      </c>
      <c r="P19" s="81">
        <f t="shared" si="28"/>
        <v>28080</v>
      </c>
      <c r="Q19" s="83">
        <f t="shared" si="29"/>
        <v>205920</v>
      </c>
    </row>
    <row r="20" spans="1:35" x14ac:dyDescent="0.3">
      <c r="A20" s="84" t="s">
        <v>329</v>
      </c>
      <c r="B20" s="85">
        <v>5680000</v>
      </c>
      <c r="C20" s="85">
        <f t="shared" si="15"/>
        <v>568000</v>
      </c>
      <c r="D20" s="85">
        <f t="shared" si="16"/>
        <v>454400</v>
      </c>
      <c r="E20" s="85">
        <f t="shared" si="17"/>
        <v>284000</v>
      </c>
      <c r="F20" s="85">
        <f t="shared" si="18"/>
        <v>681600</v>
      </c>
      <c r="G20" s="85">
        <f t="shared" si="19"/>
        <v>189333.33333333334</v>
      </c>
      <c r="H20" s="85">
        <f t="shared" si="20"/>
        <v>473333.33333333331</v>
      </c>
      <c r="I20" s="86">
        <f t="shared" si="21"/>
        <v>2</v>
      </c>
      <c r="J20" s="85">
        <f t="shared" si="22"/>
        <v>378666.66666666669</v>
      </c>
      <c r="K20" s="86">
        <f t="shared" si="23"/>
        <v>0</v>
      </c>
      <c r="L20" s="85">
        <f t="shared" si="24"/>
        <v>0</v>
      </c>
      <c r="M20" s="86">
        <f t="shared" si="25"/>
        <v>0</v>
      </c>
      <c r="N20" s="85">
        <f t="shared" si="26"/>
        <v>0</v>
      </c>
      <c r="O20" s="85">
        <f t="shared" si="27"/>
        <v>-378666.66666666669</v>
      </c>
      <c r="P20" s="85">
        <f t="shared" si="28"/>
        <v>681600</v>
      </c>
      <c r="Q20" s="87">
        <f t="shared" si="29"/>
        <v>4998400</v>
      </c>
    </row>
    <row r="21" spans="1:35" x14ac:dyDescent="0.3">
      <c r="A21" s="80" t="s">
        <v>330</v>
      </c>
      <c r="B21" s="81">
        <v>790000</v>
      </c>
      <c r="C21" s="81">
        <f t="shared" si="15"/>
        <v>79000</v>
      </c>
      <c r="D21" s="81">
        <f t="shared" si="16"/>
        <v>63200</v>
      </c>
      <c r="E21" s="81">
        <f t="shared" si="17"/>
        <v>39500</v>
      </c>
      <c r="F21" s="81">
        <f t="shared" si="18"/>
        <v>94800</v>
      </c>
      <c r="G21" s="81">
        <f t="shared" si="19"/>
        <v>26333.333333333332</v>
      </c>
      <c r="H21" s="81">
        <f t="shared" si="20"/>
        <v>65833.333333333328</v>
      </c>
      <c r="I21" s="82">
        <f t="shared" si="21"/>
        <v>3</v>
      </c>
      <c r="J21" s="81">
        <f t="shared" si="22"/>
        <v>79000</v>
      </c>
      <c r="K21" s="82">
        <f t="shared" si="23"/>
        <v>0</v>
      </c>
      <c r="L21" s="81">
        <f t="shared" si="24"/>
        <v>0</v>
      </c>
      <c r="M21" s="82">
        <f t="shared" si="25"/>
        <v>0</v>
      </c>
      <c r="N21" s="81">
        <f t="shared" si="26"/>
        <v>0</v>
      </c>
      <c r="O21" s="81">
        <f t="shared" si="27"/>
        <v>-79000</v>
      </c>
      <c r="P21" s="81">
        <f t="shared" si="28"/>
        <v>94800</v>
      </c>
      <c r="Q21" s="83">
        <f t="shared" si="29"/>
        <v>695200</v>
      </c>
    </row>
    <row r="22" spans="1:35" x14ac:dyDescent="0.3">
      <c r="A22" s="88" t="s">
        <v>331</v>
      </c>
      <c r="B22" s="89">
        <v>674223</v>
      </c>
      <c r="C22" s="89">
        <f t="shared" si="15"/>
        <v>67422.3</v>
      </c>
      <c r="D22" s="89">
        <f t="shared" si="16"/>
        <v>53937.840000000004</v>
      </c>
      <c r="E22" s="89">
        <f t="shared" si="17"/>
        <v>33711.15</v>
      </c>
      <c r="F22" s="89">
        <f t="shared" si="18"/>
        <v>80906.759999999995</v>
      </c>
      <c r="G22" s="89">
        <f t="shared" si="19"/>
        <v>22474.1</v>
      </c>
      <c r="H22" s="89">
        <f t="shared" si="20"/>
        <v>56185.25</v>
      </c>
      <c r="I22" s="90">
        <f t="shared" si="21"/>
        <v>2</v>
      </c>
      <c r="J22" s="89">
        <f t="shared" si="22"/>
        <v>44948.2</v>
      </c>
      <c r="K22" s="90">
        <f t="shared" si="23"/>
        <v>0</v>
      </c>
      <c r="L22" s="89">
        <f t="shared" si="24"/>
        <v>0</v>
      </c>
      <c r="M22" s="90">
        <f t="shared" si="25"/>
        <v>0</v>
      </c>
      <c r="N22" s="89">
        <f t="shared" si="26"/>
        <v>0</v>
      </c>
      <c r="O22" s="89">
        <f t="shared" si="27"/>
        <v>-44948.2</v>
      </c>
      <c r="P22" s="89">
        <f t="shared" si="28"/>
        <v>80906.759999999995</v>
      </c>
      <c r="Q22" s="91">
        <f t="shared" si="29"/>
        <v>593316.24</v>
      </c>
    </row>
    <row r="23" spans="1:35" x14ac:dyDescent="0.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</row>
    <row r="24" spans="1:35" x14ac:dyDescent="0.3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</row>
    <row r="25" spans="1:35" x14ac:dyDescent="0.3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spans="1:35" x14ac:dyDescent="0.3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</row>
    <row r="27" spans="1:35" x14ac:dyDescent="0.3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spans="1:35" x14ac:dyDescent="0.3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spans="1:35" x14ac:dyDescent="0.3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spans="1:35" x14ac:dyDescent="0.3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</row>
    <row r="31" spans="1:35" x14ac:dyDescent="0.3">
      <c r="A31" s="77" t="s">
        <v>298</v>
      </c>
      <c r="B31" s="78" t="s">
        <v>332</v>
      </c>
      <c r="C31" s="78" t="s">
        <v>333</v>
      </c>
      <c r="D31" s="78" t="s">
        <v>334</v>
      </c>
      <c r="E31" s="78" t="s">
        <v>335</v>
      </c>
      <c r="F31" s="78" t="s">
        <v>336</v>
      </c>
      <c r="G31" s="78" t="s">
        <v>337</v>
      </c>
      <c r="H31" s="78" t="s">
        <v>338</v>
      </c>
      <c r="I31" s="78" t="s">
        <v>339</v>
      </c>
      <c r="J31" s="78" t="s">
        <v>340</v>
      </c>
      <c r="K31" s="78" t="s">
        <v>341</v>
      </c>
      <c r="L31" s="78" t="s">
        <v>342</v>
      </c>
      <c r="M31" s="78" t="s">
        <v>343</v>
      </c>
      <c r="N31" s="78" t="s">
        <v>344</v>
      </c>
      <c r="O31" s="78" t="s">
        <v>345</v>
      </c>
      <c r="P31" s="78" t="s">
        <v>346</v>
      </c>
      <c r="Q31" s="78" t="s">
        <v>347</v>
      </c>
      <c r="R31" s="69" t="s">
        <v>348</v>
      </c>
      <c r="S31" s="69" t="s">
        <v>349</v>
      </c>
      <c r="T31" s="69" t="s">
        <v>350</v>
      </c>
      <c r="U31" s="69" t="s">
        <v>351</v>
      </c>
      <c r="V31" s="69" t="s">
        <v>352</v>
      </c>
      <c r="W31" s="69" t="s">
        <v>353</v>
      </c>
      <c r="X31" s="69" t="s">
        <v>354</v>
      </c>
      <c r="Y31" s="69" t="s">
        <v>355</v>
      </c>
      <c r="Z31" s="69" t="s">
        <v>356</v>
      </c>
      <c r="AA31" s="69" t="s">
        <v>357</v>
      </c>
      <c r="AB31" s="69" t="s">
        <v>358</v>
      </c>
      <c r="AC31" s="69" t="s">
        <v>359</v>
      </c>
      <c r="AD31" s="69" t="s">
        <v>360</v>
      </c>
      <c r="AE31" s="69" t="s">
        <v>361</v>
      </c>
      <c r="AF31" s="70" t="s">
        <v>362</v>
      </c>
      <c r="AG31" s="69" t="s">
        <v>365</v>
      </c>
      <c r="AH31" s="69" t="s">
        <v>366</v>
      </c>
      <c r="AI31" s="69" t="s">
        <v>306</v>
      </c>
    </row>
    <row r="32" spans="1:35" x14ac:dyDescent="0.3">
      <c r="A32" s="80" t="s">
        <v>44</v>
      </c>
      <c r="B32" s="92" t="s">
        <v>363</v>
      </c>
      <c r="C32" s="92" t="s">
        <v>363</v>
      </c>
      <c r="D32" s="92" t="s">
        <v>363</v>
      </c>
      <c r="E32" s="92" t="s">
        <v>363</v>
      </c>
      <c r="F32" s="92" t="s">
        <v>363</v>
      </c>
      <c r="G32" s="92" t="s">
        <v>363</v>
      </c>
      <c r="H32" s="92" t="s">
        <v>363</v>
      </c>
      <c r="I32" s="92" t="s">
        <v>363</v>
      </c>
      <c r="J32" s="92" t="s">
        <v>363</v>
      </c>
      <c r="K32" s="92" t="s">
        <v>363</v>
      </c>
      <c r="L32" s="92" t="s">
        <v>363</v>
      </c>
      <c r="M32" s="92" t="s">
        <v>363</v>
      </c>
      <c r="N32" s="92" t="s">
        <v>363</v>
      </c>
      <c r="O32" s="92" t="s">
        <v>363</v>
      </c>
      <c r="P32" s="92" t="s">
        <v>363</v>
      </c>
      <c r="Q32" s="92" t="s">
        <v>363</v>
      </c>
      <c r="R32" s="75" t="s">
        <v>363</v>
      </c>
      <c r="S32" s="75" t="s">
        <v>363</v>
      </c>
      <c r="T32" s="75" t="s">
        <v>363</v>
      </c>
      <c r="U32" s="75" t="s">
        <v>363</v>
      </c>
      <c r="V32" s="75" t="s">
        <v>363</v>
      </c>
      <c r="W32" s="75" t="s">
        <v>363</v>
      </c>
      <c r="X32" s="75" t="s">
        <v>363</v>
      </c>
      <c r="Y32" s="75" t="s">
        <v>363</v>
      </c>
      <c r="Z32" s="75" t="s">
        <v>363</v>
      </c>
      <c r="AA32" s="75" t="s">
        <v>363</v>
      </c>
      <c r="AB32" s="75" t="s">
        <v>363</v>
      </c>
      <c r="AC32" s="75" t="s">
        <v>363</v>
      </c>
      <c r="AD32" s="75" t="s">
        <v>367</v>
      </c>
      <c r="AE32" s="75" t="s">
        <v>363</v>
      </c>
      <c r="AF32" s="76" t="s">
        <v>363</v>
      </c>
      <c r="AG32" s="95">
        <f>COUNTIF(PayrollAttendance[[#This Row],[DAY1]:[DAY31]],"P")</f>
        <v>30</v>
      </c>
      <c r="AH32" s="95">
        <f>COUNTIF(PayrollAttendance[[#This Row],[DAY1]:[DAY31]],"A")</f>
        <v>1</v>
      </c>
      <c r="AI32" s="95">
        <f>COUNTIF(PayrollAttendance[[#This Row],[DAY1]:[DAY31]],"L")</f>
        <v>0</v>
      </c>
    </row>
    <row r="33" spans="1:35" x14ac:dyDescent="0.3">
      <c r="A33" s="84" t="s">
        <v>315</v>
      </c>
      <c r="B33" s="93" t="s">
        <v>363</v>
      </c>
      <c r="C33" s="93" t="s">
        <v>363</v>
      </c>
      <c r="D33" s="93" t="s">
        <v>363</v>
      </c>
      <c r="E33" s="93" t="s">
        <v>363</v>
      </c>
      <c r="F33" s="93" t="s">
        <v>363</v>
      </c>
      <c r="G33" s="93" t="s">
        <v>363</v>
      </c>
      <c r="H33" s="93" t="s">
        <v>363</v>
      </c>
      <c r="I33" s="93" t="s">
        <v>363</v>
      </c>
      <c r="J33" s="93" t="s">
        <v>363</v>
      </c>
      <c r="K33" s="93" t="s">
        <v>363</v>
      </c>
      <c r="L33" s="93" t="s">
        <v>363</v>
      </c>
      <c r="M33" s="93" t="s">
        <v>363</v>
      </c>
      <c r="N33" s="93" t="s">
        <v>363</v>
      </c>
      <c r="O33" s="93" t="s">
        <v>363</v>
      </c>
      <c r="P33" s="93" t="s">
        <v>363</v>
      </c>
      <c r="Q33" s="93" t="s">
        <v>363</v>
      </c>
      <c r="R33" s="71" t="s">
        <v>363</v>
      </c>
      <c r="S33" s="71" t="s">
        <v>363</v>
      </c>
      <c r="T33" s="71" t="s">
        <v>363</v>
      </c>
      <c r="U33" s="71" t="s">
        <v>363</v>
      </c>
      <c r="V33" s="71" t="s">
        <v>363</v>
      </c>
      <c r="W33" s="71" t="s">
        <v>363</v>
      </c>
      <c r="X33" s="71" t="s">
        <v>363</v>
      </c>
      <c r="Y33" s="71" t="s">
        <v>363</v>
      </c>
      <c r="Z33" s="71" t="s">
        <v>363</v>
      </c>
      <c r="AA33" s="71" t="s">
        <v>363</v>
      </c>
      <c r="AB33" s="71" t="s">
        <v>367</v>
      </c>
      <c r="AC33" s="71" t="s">
        <v>367</v>
      </c>
      <c r="AD33" s="71" t="s">
        <v>367</v>
      </c>
      <c r="AE33" s="71" t="s">
        <v>363</v>
      </c>
      <c r="AF33" s="72" t="s">
        <v>363</v>
      </c>
      <c r="AG33" s="71">
        <f>COUNTIF(PayrollAttendance[[#This Row],[DAY1]:[DAY31]],"P")</f>
        <v>28</v>
      </c>
      <c r="AH33" s="71">
        <f>COUNTIF(PayrollAttendance[[#This Row],[DAY1]:[DAY31]],"A")</f>
        <v>3</v>
      </c>
      <c r="AI33" s="71">
        <f>COUNTIF(PayrollAttendance[[#This Row],[DAY1]:[DAY31]],"L")</f>
        <v>0</v>
      </c>
    </row>
    <row r="34" spans="1:35" x14ac:dyDescent="0.3">
      <c r="A34" s="80" t="s">
        <v>316</v>
      </c>
      <c r="B34" s="92" t="s">
        <v>363</v>
      </c>
      <c r="C34" s="92" t="s">
        <v>363</v>
      </c>
      <c r="D34" s="92" t="s">
        <v>363</v>
      </c>
      <c r="E34" s="92" t="s">
        <v>363</v>
      </c>
      <c r="F34" s="92" t="s">
        <v>363</v>
      </c>
      <c r="G34" s="92" t="s">
        <v>363</v>
      </c>
      <c r="H34" s="92" t="s">
        <v>363</v>
      </c>
      <c r="I34" s="92" t="s">
        <v>363</v>
      </c>
      <c r="J34" s="92" t="s">
        <v>363</v>
      </c>
      <c r="K34" s="92" t="s">
        <v>363</v>
      </c>
      <c r="L34" s="92" t="s">
        <v>363</v>
      </c>
      <c r="M34" s="92" t="s">
        <v>363</v>
      </c>
      <c r="N34" s="92" t="s">
        <v>363</v>
      </c>
      <c r="O34" s="92" t="s">
        <v>363</v>
      </c>
      <c r="P34" s="92" t="s">
        <v>363</v>
      </c>
      <c r="Q34" s="92" t="s">
        <v>363</v>
      </c>
      <c r="R34" s="75" t="s">
        <v>363</v>
      </c>
      <c r="S34" s="75" t="s">
        <v>363</v>
      </c>
      <c r="T34" s="75" t="s">
        <v>363</v>
      </c>
      <c r="U34" s="75" t="s">
        <v>363</v>
      </c>
      <c r="V34" s="75" t="s">
        <v>363</v>
      </c>
      <c r="W34" s="75" t="s">
        <v>363</v>
      </c>
      <c r="X34" s="75" t="s">
        <v>363</v>
      </c>
      <c r="Y34" s="75" t="s">
        <v>363</v>
      </c>
      <c r="Z34" s="75" t="s">
        <v>363</v>
      </c>
      <c r="AA34" s="75" t="s">
        <v>367</v>
      </c>
      <c r="AB34" s="75" t="s">
        <v>367</v>
      </c>
      <c r="AC34" s="75" t="s">
        <v>367</v>
      </c>
      <c r="AD34" s="75" t="s">
        <v>367</v>
      </c>
      <c r="AE34" s="75" t="s">
        <v>367</v>
      </c>
      <c r="AF34" s="76" t="s">
        <v>363</v>
      </c>
      <c r="AG34" s="71">
        <f>COUNTIF(PayrollAttendance[[#This Row],[DAY1]:[DAY31]],"P")</f>
        <v>26</v>
      </c>
      <c r="AH34" s="71">
        <f>COUNTIF(PayrollAttendance[[#This Row],[DAY1]:[DAY31]],"A")</f>
        <v>5</v>
      </c>
      <c r="AI34" s="71">
        <f>COUNTIF(PayrollAttendance[[#This Row],[DAY1]:[DAY31]],"L")</f>
        <v>0</v>
      </c>
    </row>
    <row r="35" spans="1:35" x14ac:dyDescent="0.3">
      <c r="A35" s="84" t="s">
        <v>317</v>
      </c>
      <c r="B35" s="93" t="s">
        <v>363</v>
      </c>
      <c r="C35" s="93" t="s">
        <v>363</v>
      </c>
      <c r="D35" s="93" t="s">
        <v>363</v>
      </c>
      <c r="E35" s="93" t="s">
        <v>363</v>
      </c>
      <c r="F35" s="93" t="s">
        <v>363</v>
      </c>
      <c r="G35" s="93" t="s">
        <v>363</v>
      </c>
      <c r="H35" s="93" t="s">
        <v>363</v>
      </c>
      <c r="I35" s="93" t="s">
        <v>363</v>
      </c>
      <c r="J35" s="93" t="s">
        <v>363</v>
      </c>
      <c r="K35" s="93" t="s">
        <v>363</v>
      </c>
      <c r="L35" s="93" t="s">
        <v>363</v>
      </c>
      <c r="M35" s="93" t="s">
        <v>363</v>
      </c>
      <c r="N35" s="93" t="s">
        <v>363</v>
      </c>
      <c r="O35" s="93" t="s">
        <v>363</v>
      </c>
      <c r="P35" s="93" t="s">
        <v>363</v>
      </c>
      <c r="Q35" s="93" t="s">
        <v>363</v>
      </c>
      <c r="R35" s="71" t="s">
        <v>363</v>
      </c>
      <c r="S35" s="71" t="s">
        <v>363</v>
      </c>
      <c r="T35" s="71" t="s">
        <v>363</v>
      </c>
      <c r="U35" s="71" t="s">
        <v>363</v>
      </c>
      <c r="V35" s="71" t="s">
        <v>363</v>
      </c>
      <c r="W35" s="71" t="s">
        <v>363</v>
      </c>
      <c r="X35" s="71" t="s">
        <v>363</v>
      </c>
      <c r="Y35" s="71" t="s">
        <v>363</v>
      </c>
      <c r="Z35" s="71" t="s">
        <v>363</v>
      </c>
      <c r="AA35" s="71" t="s">
        <v>363</v>
      </c>
      <c r="AB35" s="71" t="s">
        <v>363</v>
      </c>
      <c r="AC35" s="71" t="s">
        <v>363</v>
      </c>
      <c r="AD35" s="71" t="s">
        <v>363</v>
      </c>
      <c r="AE35" s="71" t="s">
        <v>363</v>
      </c>
      <c r="AF35" s="72" t="s">
        <v>363</v>
      </c>
      <c r="AG35" s="71">
        <f>COUNTIF(PayrollAttendance[[#This Row],[DAY1]:[DAY31]],"P")</f>
        <v>31</v>
      </c>
      <c r="AH35" s="71">
        <f>COUNTIF(PayrollAttendance[[#This Row],[DAY1]:[DAY31]],"A")</f>
        <v>0</v>
      </c>
      <c r="AI35" s="71">
        <f>COUNTIF(PayrollAttendance[[#This Row],[DAY1]:[DAY31]],"L")</f>
        <v>0</v>
      </c>
    </row>
    <row r="36" spans="1:35" x14ac:dyDescent="0.3">
      <c r="A36" s="80" t="s">
        <v>318</v>
      </c>
      <c r="B36" s="92" t="s">
        <v>363</v>
      </c>
      <c r="C36" s="92" t="s">
        <v>363</v>
      </c>
      <c r="D36" s="92" t="s">
        <v>363</v>
      </c>
      <c r="E36" s="92" t="s">
        <v>363</v>
      </c>
      <c r="F36" s="92" t="s">
        <v>363</v>
      </c>
      <c r="G36" s="92" t="s">
        <v>363</v>
      </c>
      <c r="H36" s="92" t="s">
        <v>363</v>
      </c>
      <c r="I36" s="92" t="s">
        <v>363</v>
      </c>
      <c r="J36" s="92" t="s">
        <v>363</v>
      </c>
      <c r="K36" s="92" t="s">
        <v>363</v>
      </c>
      <c r="L36" s="92" t="s">
        <v>363</v>
      </c>
      <c r="M36" s="92" t="s">
        <v>363</v>
      </c>
      <c r="N36" s="92" t="s">
        <v>363</v>
      </c>
      <c r="O36" s="92" t="s">
        <v>363</v>
      </c>
      <c r="P36" s="92" t="s">
        <v>363</v>
      </c>
      <c r="Q36" s="92" t="s">
        <v>363</v>
      </c>
      <c r="R36" s="75" t="s">
        <v>363</v>
      </c>
      <c r="S36" s="75" t="s">
        <v>363</v>
      </c>
      <c r="T36" s="75" t="s">
        <v>363</v>
      </c>
      <c r="U36" s="75" t="s">
        <v>363</v>
      </c>
      <c r="V36" s="75" t="s">
        <v>363</v>
      </c>
      <c r="W36" s="75" t="s">
        <v>363</v>
      </c>
      <c r="X36" s="75" t="s">
        <v>363</v>
      </c>
      <c r="Y36" s="75" t="s">
        <v>363</v>
      </c>
      <c r="Z36" s="75" t="s">
        <v>363</v>
      </c>
      <c r="AA36" s="75" t="s">
        <v>363</v>
      </c>
      <c r="AB36" s="75" t="s">
        <v>363</v>
      </c>
      <c r="AC36" s="75" t="s">
        <v>367</v>
      </c>
      <c r="AD36" s="75" t="s">
        <v>364</v>
      </c>
      <c r="AE36" s="75" t="s">
        <v>363</v>
      </c>
      <c r="AF36" s="76" t="s">
        <v>367</v>
      </c>
      <c r="AG36" s="71">
        <f>COUNTIF(PayrollAttendance[[#This Row],[DAY1]:[DAY31]],"P")</f>
        <v>28</v>
      </c>
      <c r="AH36" s="71">
        <f>COUNTIF(PayrollAttendance[[#This Row],[DAY1]:[DAY31]],"A")</f>
        <v>2</v>
      </c>
      <c r="AI36" s="71">
        <f>COUNTIF(PayrollAttendance[[#This Row],[DAY1]:[DAY31]],"L")</f>
        <v>1</v>
      </c>
    </row>
    <row r="37" spans="1:35" x14ac:dyDescent="0.3">
      <c r="A37" s="84" t="s">
        <v>319</v>
      </c>
      <c r="B37" s="93" t="s">
        <v>363</v>
      </c>
      <c r="C37" s="93" t="s">
        <v>363</v>
      </c>
      <c r="D37" s="93" t="s">
        <v>363</v>
      </c>
      <c r="E37" s="93" t="s">
        <v>363</v>
      </c>
      <c r="F37" s="93" t="s">
        <v>363</v>
      </c>
      <c r="G37" s="93" t="s">
        <v>363</v>
      </c>
      <c r="H37" s="93" t="s">
        <v>363</v>
      </c>
      <c r="I37" s="93" t="s">
        <v>363</v>
      </c>
      <c r="J37" s="93" t="s">
        <v>363</v>
      </c>
      <c r="K37" s="93" t="s">
        <v>363</v>
      </c>
      <c r="L37" s="93" t="s">
        <v>363</v>
      </c>
      <c r="M37" s="93" t="s">
        <v>363</v>
      </c>
      <c r="N37" s="93" t="s">
        <v>363</v>
      </c>
      <c r="O37" s="93" t="s">
        <v>363</v>
      </c>
      <c r="P37" s="93" t="s">
        <v>363</v>
      </c>
      <c r="Q37" s="93" t="s">
        <v>363</v>
      </c>
      <c r="R37" s="71" t="s">
        <v>363</v>
      </c>
      <c r="S37" s="71" t="s">
        <v>363</v>
      </c>
      <c r="T37" s="71" t="s">
        <v>363</v>
      </c>
      <c r="U37" s="71" t="s">
        <v>363</v>
      </c>
      <c r="V37" s="71" t="s">
        <v>363</v>
      </c>
      <c r="W37" s="71" t="s">
        <v>363</v>
      </c>
      <c r="X37" s="71" t="s">
        <v>363</v>
      </c>
      <c r="Y37" s="71" t="s">
        <v>363</v>
      </c>
      <c r="Z37" s="71" t="s">
        <v>363</v>
      </c>
      <c r="AA37" s="71" t="s">
        <v>363</v>
      </c>
      <c r="AB37" s="71" t="s">
        <v>363</v>
      </c>
      <c r="AC37" s="71" t="s">
        <v>363</v>
      </c>
      <c r="AD37" s="71" t="s">
        <v>363</v>
      </c>
      <c r="AE37" s="71" t="s">
        <v>367</v>
      </c>
      <c r="AF37" s="72" t="s">
        <v>363</v>
      </c>
      <c r="AG37" s="71">
        <f>COUNTIF(PayrollAttendance[[#This Row],[DAY1]:[DAY31]],"P")</f>
        <v>30</v>
      </c>
      <c r="AH37" s="71">
        <f>COUNTIF(PayrollAttendance[[#This Row],[DAY1]:[DAY31]],"A")</f>
        <v>1</v>
      </c>
      <c r="AI37" s="71">
        <f>COUNTIF(PayrollAttendance[[#This Row],[DAY1]:[DAY31]],"L")</f>
        <v>0</v>
      </c>
    </row>
    <row r="38" spans="1:35" x14ac:dyDescent="0.3">
      <c r="A38" s="80" t="s">
        <v>320</v>
      </c>
      <c r="B38" s="92" t="s">
        <v>363</v>
      </c>
      <c r="C38" s="92" t="s">
        <v>363</v>
      </c>
      <c r="D38" s="92" t="s">
        <v>363</v>
      </c>
      <c r="E38" s="92" t="s">
        <v>363</v>
      </c>
      <c r="F38" s="92" t="s">
        <v>363</v>
      </c>
      <c r="G38" s="92" t="s">
        <v>363</v>
      </c>
      <c r="H38" s="92" t="s">
        <v>363</v>
      </c>
      <c r="I38" s="92" t="s">
        <v>363</v>
      </c>
      <c r="J38" s="92" t="s">
        <v>363</v>
      </c>
      <c r="K38" s="92" t="s">
        <v>363</v>
      </c>
      <c r="L38" s="92" t="s">
        <v>363</v>
      </c>
      <c r="M38" s="92" t="s">
        <v>363</v>
      </c>
      <c r="N38" s="92" t="s">
        <v>363</v>
      </c>
      <c r="O38" s="92" t="s">
        <v>363</v>
      </c>
      <c r="P38" s="92" t="s">
        <v>363</v>
      </c>
      <c r="Q38" s="92" t="s">
        <v>363</v>
      </c>
      <c r="R38" s="75" t="s">
        <v>363</v>
      </c>
      <c r="S38" s="75" t="s">
        <v>363</v>
      </c>
      <c r="T38" s="75" t="s">
        <v>363</v>
      </c>
      <c r="U38" s="75" t="s">
        <v>363</v>
      </c>
      <c r="V38" s="75" t="s">
        <v>363</v>
      </c>
      <c r="W38" s="75" t="s">
        <v>363</v>
      </c>
      <c r="X38" s="75" t="s">
        <v>363</v>
      </c>
      <c r="Y38" s="75" t="s">
        <v>363</v>
      </c>
      <c r="Z38" s="75" t="s">
        <v>363</v>
      </c>
      <c r="AA38" s="75" t="s">
        <v>363</v>
      </c>
      <c r="AB38" s="75" t="s">
        <v>363</v>
      </c>
      <c r="AC38" s="75" t="s">
        <v>363</v>
      </c>
      <c r="AD38" s="75" t="s">
        <v>367</v>
      </c>
      <c r="AE38" s="75" t="s">
        <v>364</v>
      </c>
      <c r="AF38" s="76" t="s">
        <v>363</v>
      </c>
      <c r="AG38" s="71">
        <f>COUNTIF(PayrollAttendance[[#This Row],[DAY1]:[DAY31]],"P")</f>
        <v>29</v>
      </c>
      <c r="AH38" s="71">
        <f>COUNTIF(PayrollAttendance[[#This Row],[DAY1]:[DAY31]],"A")</f>
        <v>1</v>
      </c>
      <c r="AI38" s="71">
        <f>COUNTIF(PayrollAttendance[[#This Row],[DAY1]:[DAY31]],"L")</f>
        <v>1</v>
      </c>
    </row>
    <row r="39" spans="1:35" x14ac:dyDescent="0.3">
      <c r="A39" s="84" t="s">
        <v>321</v>
      </c>
      <c r="B39" s="93" t="s">
        <v>363</v>
      </c>
      <c r="C39" s="93" t="s">
        <v>363</v>
      </c>
      <c r="D39" s="93" t="s">
        <v>363</v>
      </c>
      <c r="E39" s="93" t="s">
        <v>363</v>
      </c>
      <c r="F39" s="93" t="s">
        <v>363</v>
      </c>
      <c r="G39" s="93" t="s">
        <v>363</v>
      </c>
      <c r="H39" s="93" t="s">
        <v>363</v>
      </c>
      <c r="I39" s="93" t="s">
        <v>363</v>
      </c>
      <c r="J39" s="93" t="s">
        <v>363</v>
      </c>
      <c r="K39" s="93" t="s">
        <v>363</v>
      </c>
      <c r="L39" s="93" t="s">
        <v>363</v>
      </c>
      <c r="M39" s="93" t="s">
        <v>363</v>
      </c>
      <c r="N39" s="93" t="s">
        <v>363</v>
      </c>
      <c r="O39" s="93" t="s">
        <v>363</v>
      </c>
      <c r="P39" s="93" t="s">
        <v>363</v>
      </c>
      <c r="Q39" s="93" t="s">
        <v>363</v>
      </c>
      <c r="R39" s="71" t="s">
        <v>363</v>
      </c>
      <c r="S39" s="71" t="s">
        <v>363</v>
      </c>
      <c r="T39" s="71" t="s">
        <v>363</v>
      </c>
      <c r="U39" s="71" t="s">
        <v>363</v>
      </c>
      <c r="V39" s="71" t="s">
        <v>363</v>
      </c>
      <c r="W39" s="71" t="s">
        <v>363</v>
      </c>
      <c r="X39" s="71" t="s">
        <v>363</v>
      </c>
      <c r="Y39" s="71" t="s">
        <v>363</v>
      </c>
      <c r="Z39" s="71" t="s">
        <v>363</v>
      </c>
      <c r="AA39" s="71" t="s">
        <v>363</v>
      </c>
      <c r="AB39" s="71" t="s">
        <v>363</v>
      </c>
      <c r="AC39" s="71" t="s">
        <v>363</v>
      </c>
      <c r="AD39" s="71" t="s">
        <v>363</v>
      </c>
      <c r="AE39" s="71" t="s">
        <v>363</v>
      </c>
      <c r="AF39" s="72" t="s">
        <v>363</v>
      </c>
      <c r="AG39" s="71">
        <f>COUNTIF(PayrollAttendance[[#This Row],[DAY1]:[DAY31]],"P")</f>
        <v>31</v>
      </c>
      <c r="AH39" s="71">
        <f>COUNTIF(PayrollAttendance[[#This Row],[DAY1]:[DAY31]],"A")</f>
        <v>0</v>
      </c>
      <c r="AI39" s="71">
        <f>COUNTIF(PayrollAttendance[[#This Row],[DAY1]:[DAY31]],"L")</f>
        <v>0</v>
      </c>
    </row>
    <row r="40" spans="1:35" x14ac:dyDescent="0.3">
      <c r="A40" s="80" t="s">
        <v>322</v>
      </c>
      <c r="B40" s="92" t="s">
        <v>363</v>
      </c>
      <c r="C40" s="92" t="s">
        <v>363</v>
      </c>
      <c r="D40" s="92" t="s">
        <v>363</v>
      </c>
      <c r="E40" s="92" t="s">
        <v>363</v>
      </c>
      <c r="F40" s="92" t="s">
        <v>363</v>
      </c>
      <c r="G40" s="92" t="s">
        <v>363</v>
      </c>
      <c r="H40" s="92" t="s">
        <v>363</v>
      </c>
      <c r="I40" s="92" t="s">
        <v>363</v>
      </c>
      <c r="J40" s="92" t="s">
        <v>363</v>
      </c>
      <c r="K40" s="92" t="s">
        <v>363</v>
      </c>
      <c r="L40" s="92" t="s">
        <v>363</v>
      </c>
      <c r="M40" s="92" t="s">
        <v>363</v>
      </c>
      <c r="N40" s="92" t="s">
        <v>363</v>
      </c>
      <c r="O40" s="92" t="s">
        <v>363</v>
      </c>
      <c r="P40" s="92" t="s">
        <v>363</v>
      </c>
      <c r="Q40" s="92" t="s">
        <v>363</v>
      </c>
      <c r="R40" s="75" t="s">
        <v>363</v>
      </c>
      <c r="S40" s="75" t="s">
        <v>363</v>
      </c>
      <c r="T40" s="75" t="s">
        <v>363</v>
      </c>
      <c r="U40" s="75" t="s">
        <v>363</v>
      </c>
      <c r="V40" s="75" t="s">
        <v>363</v>
      </c>
      <c r="W40" s="75" t="s">
        <v>363</v>
      </c>
      <c r="X40" s="75" t="s">
        <v>363</v>
      </c>
      <c r="Y40" s="75" t="s">
        <v>363</v>
      </c>
      <c r="Z40" s="75" t="s">
        <v>363</v>
      </c>
      <c r="AA40" s="75" t="s">
        <v>363</v>
      </c>
      <c r="AB40" s="75" t="s">
        <v>363</v>
      </c>
      <c r="AC40" s="75" t="s">
        <v>363</v>
      </c>
      <c r="AD40" s="75" t="s">
        <v>367</v>
      </c>
      <c r="AE40" s="75" t="s">
        <v>364</v>
      </c>
      <c r="AF40" s="76" t="s">
        <v>363</v>
      </c>
      <c r="AG40" s="71">
        <f>COUNTIF(PayrollAttendance[[#This Row],[DAY1]:[DAY31]],"P")</f>
        <v>29</v>
      </c>
      <c r="AH40" s="71">
        <f>COUNTIF(PayrollAttendance[[#This Row],[DAY1]:[DAY31]],"A")</f>
        <v>1</v>
      </c>
      <c r="AI40" s="71">
        <f>COUNTIF(PayrollAttendance[[#This Row],[DAY1]:[DAY31]],"L")</f>
        <v>1</v>
      </c>
    </row>
    <row r="41" spans="1:35" x14ac:dyDescent="0.3">
      <c r="A41" s="84" t="s">
        <v>323</v>
      </c>
      <c r="B41" s="93" t="s">
        <v>363</v>
      </c>
      <c r="C41" s="93" t="s">
        <v>363</v>
      </c>
      <c r="D41" s="93" t="s">
        <v>363</v>
      </c>
      <c r="E41" s="93" t="s">
        <v>363</v>
      </c>
      <c r="F41" s="93" t="s">
        <v>363</v>
      </c>
      <c r="G41" s="93" t="s">
        <v>363</v>
      </c>
      <c r="H41" s="93" t="s">
        <v>363</v>
      </c>
      <c r="I41" s="93" t="s">
        <v>363</v>
      </c>
      <c r="J41" s="93" t="s">
        <v>363</v>
      </c>
      <c r="K41" s="93" t="s">
        <v>363</v>
      </c>
      <c r="L41" s="93" t="s">
        <v>363</v>
      </c>
      <c r="M41" s="93" t="s">
        <v>363</v>
      </c>
      <c r="N41" s="93" t="s">
        <v>363</v>
      </c>
      <c r="O41" s="93" t="s">
        <v>363</v>
      </c>
      <c r="P41" s="93" t="s">
        <v>363</v>
      </c>
      <c r="Q41" s="93" t="s">
        <v>363</v>
      </c>
      <c r="R41" s="71" t="s">
        <v>363</v>
      </c>
      <c r="S41" s="71" t="s">
        <v>363</v>
      </c>
      <c r="T41" s="71" t="s">
        <v>363</v>
      </c>
      <c r="U41" s="71" t="s">
        <v>363</v>
      </c>
      <c r="V41" s="71" t="s">
        <v>363</v>
      </c>
      <c r="W41" s="71" t="s">
        <v>363</v>
      </c>
      <c r="X41" s="71" t="s">
        <v>363</v>
      </c>
      <c r="Y41" s="71" t="s">
        <v>363</v>
      </c>
      <c r="Z41" s="71" t="s">
        <v>363</v>
      </c>
      <c r="AA41" s="71" t="s">
        <v>363</v>
      </c>
      <c r="AB41" s="71" t="s">
        <v>363</v>
      </c>
      <c r="AC41" s="71" t="s">
        <v>367</v>
      </c>
      <c r="AD41" s="71" t="s">
        <v>367</v>
      </c>
      <c r="AE41" s="71" t="s">
        <v>364</v>
      </c>
      <c r="AF41" s="72" t="s">
        <v>364</v>
      </c>
      <c r="AG41" s="71">
        <f>COUNTIF(PayrollAttendance[[#This Row],[DAY1]:[DAY31]],"P")</f>
        <v>27</v>
      </c>
      <c r="AH41" s="71">
        <f>COUNTIF(PayrollAttendance[[#This Row],[DAY1]:[DAY31]],"A")</f>
        <v>2</v>
      </c>
      <c r="AI41" s="71">
        <f>COUNTIF(PayrollAttendance[[#This Row],[DAY1]:[DAY31]],"L")</f>
        <v>2</v>
      </c>
    </row>
    <row r="42" spans="1:35" x14ac:dyDescent="0.3">
      <c r="A42" s="80" t="s">
        <v>324</v>
      </c>
      <c r="B42" s="92" t="s">
        <v>363</v>
      </c>
      <c r="C42" s="92" t="s">
        <v>363</v>
      </c>
      <c r="D42" s="92" t="s">
        <v>363</v>
      </c>
      <c r="E42" s="92" t="s">
        <v>363</v>
      </c>
      <c r="F42" s="92" t="s">
        <v>363</v>
      </c>
      <c r="G42" s="92" t="s">
        <v>363</v>
      </c>
      <c r="H42" s="92" t="s">
        <v>363</v>
      </c>
      <c r="I42" s="92" t="s">
        <v>363</v>
      </c>
      <c r="J42" s="92" t="s">
        <v>363</v>
      </c>
      <c r="K42" s="92" t="s">
        <v>363</v>
      </c>
      <c r="L42" s="92" t="s">
        <v>363</v>
      </c>
      <c r="M42" s="92" t="s">
        <v>363</v>
      </c>
      <c r="N42" s="92" t="s">
        <v>363</v>
      </c>
      <c r="O42" s="92" t="s">
        <v>363</v>
      </c>
      <c r="P42" s="92" t="s">
        <v>363</v>
      </c>
      <c r="Q42" s="92" t="s">
        <v>363</v>
      </c>
      <c r="R42" s="75" t="s">
        <v>363</v>
      </c>
      <c r="S42" s="75" t="s">
        <v>363</v>
      </c>
      <c r="T42" s="75" t="s">
        <v>363</v>
      </c>
      <c r="U42" s="75" t="s">
        <v>363</v>
      </c>
      <c r="V42" s="75" t="s">
        <v>363</v>
      </c>
      <c r="W42" s="75" t="s">
        <v>363</v>
      </c>
      <c r="X42" s="75" t="s">
        <v>363</v>
      </c>
      <c r="Y42" s="75" t="s">
        <v>363</v>
      </c>
      <c r="Z42" s="75" t="s">
        <v>363</v>
      </c>
      <c r="AA42" s="75" t="s">
        <v>363</v>
      </c>
      <c r="AB42" s="75" t="s">
        <v>363</v>
      </c>
      <c r="AC42" s="75" t="s">
        <v>363</v>
      </c>
      <c r="AD42" s="75" t="s">
        <v>363</v>
      </c>
      <c r="AE42" s="75" t="s">
        <v>363</v>
      </c>
      <c r="AF42" s="76" t="s">
        <v>363</v>
      </c>
      <c r="AG42" s="71">
        <f>COUNTIF(PayrollAttendance[[#This Row],[DAY1]:[DAY31]],"P")</f>
        <v>31</v>
      </c>
      <c r="AH42" s="71">
        <f>COUNTIF(PayrollAttendance[[#This Row],[DAY1]:[DAY31]],"A")</f>
        <v>0</v>
      </c>
      <c r="AI42" s="71">
        <f>COUNTIF(PayrollAttendance[[#This Row],[DAY1]:[DAY31]],"L")</f>
        <v>0</v>
      </c>
    </row>
    <row r="43" spans="1:35" x14ac:dyDescent="0.3">
      <c r="A43" s="84" t="s">
        <v>325</v>
      </c>
      <c r="B43" s="93" t="s">
        <v>363</v>
      </c>
      <c r="C43" s="93" t="s">
        <v>363</v>
      </c>
      <c r="D43" s="93" t="s">
        <v>363</v>
      </c>
      <c r="E43" s="93" t="s">
        <v>363</v>
      </c>
      <c r="F43" s="93" t="s">
        <v>363</v>
      </c>
      <c r="G43" s="93" t="s">
        <v>363</v>
      </c>
      <c r="H43" s="93" t="s">
        <v>363</v>
      </c>
      <c r="I43" s="93" t="s">
        <v>363</v>
      </c>
      <c r="J43" s="93" t="s">
        <v>363</v>
      </c>
      <c r="K43" s="93" t="s">
        <v>363</v>
      </c>
      <c r="L43" s="93" t="s">
        <v>363</v>
      </c>
      <c r="M43" s="93" t="s">
        <v>363</v>
      </c>
      <c r="N43" s="93" t="s">
        <v>363</v>
      </c>
      <c r="O43" s="93" t="s">
        <v>363</v>
      </c>
      <c r="P43" s="93" t="s">
        <v>363</v>
      </c>
      <c r="Q43" s="93" t="s">
        <v>363</v>
      </c>
      <c r="R43" s="71" t="s">
        <v>363</v>
      </c>
      <c r="S43" s="71" t="s">
        <v>363</v>
      </c>
      <c r="T43" s="71" t="s">
        <v>363</v>
      </c>
      <c r="U43" s="71" t="s">
        <v>363</v>
      </c>
      <c r="V43" s="71" t="s">
        <v>363</v>
      </c>
      <c r="W43" s="71" t="s">
        <v>363</v>
      </c>
      <c r="X43" s="71" t="s">
        <v>363</v>
      </c>
      <c r="Y43" s="71" t="s">
        <v>363</v>
      </c>
      <c r="Z43" s="71" t="s">
        <v>363</v>
      </c>
      <c r="AA43" s="71" t="s">
        <v>363</v>
      </c>
      <c r="AB43" s="71" t="s">
        <v>363</v>
      </c>
      <c r="AC43" s="71" t="s">
        <v>363</v>
      </c>
      <c r="AD43" s="71" t="s">
        <v>364</v>
      </c>
      <c r="AE43" s="71" t="s">
        <v>367</v>
      </c>
      <c r="AF43" s="72" t="s">
        <v>363</v>
      </c>
      <c r="AG43" s="71">
        <f>COUNTIF(PayrollAttendance[[#This Row],[DAY1]:[DAY31]],"P")</f>
        <v>29</v>
      </c>
      <c r="AH43" s="71">
        <f>COUNTIF(PayrollAttendance[[#This Row],[DAY1]:[DAY31]],"A")</f>
        <v>1</v>
      </c>
      <c r="AI43" s="71">
        <f>COUNTIF(PayrollAttendance[[#This Row],[DAY1]:[DAY31]],"L")</f>
        <v>1</v>
      </c>
    </row>
    <row r="44" spans="1:35" x14ac:dyDescent="0.3">
      <c r="A44" s="80" t="s">
        <v>326</v>
      </c>
      <c r="B44" s="92" t="s">
        <v>363</v>
      </c>
      <c r="C44" s="92" t="s">
        <v>363</v>
      </c>
      <c r="D44" s="92" t="s">
        <v>363</v>
      </c>
      <c r="E44" s="92" t="s">
        <v>363</v>
      </c>
      <c r="F44" s="92" t="s">
        <v>363</v>
      </c>
      <c r="G44" s="92" t="s">
        <v>363</v>
      </c>
      <c r="H44" s="92" t="s">
        <v>363</v>
      </c>
      <c r="I44" s="92" t="s">
        <v>363</v>
      </c>
      <c r="J44" s="92" t="s">
        <v>363</v>
      </c>
      <c r="K44" s="92" t="s">
        <v>363</v>
      </c>
      <c r="L44" s="92" t="s">
        <v>363</v>
      </c>
      <c r="M44" s="92" t="s">
        <v>363</v>
      </c>
      <c r="N44" s="92" t="s">
        <v>363</v>
      </c>
      <c r="O44" s="92" t="s">
        <v>363</v>
      </c>
      <c r="P44" s="92" t="s">
        <v>363</v>
      </c>
      <c r="Q44" s="92" t="s">
        <v>363</v>
      </c>
      <c r="R44" s="75" t="s">
        <v>363</v>
      </c>
      <c r="S44" s="75" t="s">
        <v>363</v>
      </c>
      <c r="T44" s="75" t="s">
        <v>363</v>
      </c>
      <c r="U44" s="75" t="s">
        <v>363</v>
      </c>
      <c r="V44" s="75" t="s">
        <v>363</v>
      </c>
      <c r="W44" s="75" t="s">
        <v>363</v>
      </c>
      <c r="X44" s="75" t="s">
        <v>363</v>
      </c>
      <c r="Y44" s="75" t="s">
        <v>363</v>
      </c>
      <c r="Z44" s="75" t="s">
        <v>363</v>
      </c>
      <c r="AA44" s="75" t="s">
        <v>363</v>
      </c>
      <c r="AB44" s="75" t="s">
        <v>367</v>
      </c>
      <c r="AC44" s="75" t="s">
        <v>367</v>
      </c>
      <c r="AD44" s="75" t="s">
        <v>364</v>
      </c>
      <c r="AE44" s="75" t="s">
        <v>364</v>
      </c>
      <c r="AF44" s="76" t="s">
        <v>364</v>
      </c>
      <c r="AG44" s="71">
        <f>COUNTIF(PayrollAttendance[[#This Row],[DAY1]:[DAY31]],"P")</f>
        <v>26</v>
      </c>
      <c r="AH44" s="71">
        <f>COUNTIF(PayrollAttendance[[#This Row],[DAY1]:[DAY31]],"A")</f>
        <v>2</v>
      </c>
      <c r="AI44" s="71">
        <f>COUNTIF(PayrollAttendance[[#This Row],[DAY1]:[DAY31]],"L")</f>
        <v>3</v>
      </c>
    </row>
    <row r="45" spans="1:35" x14ac:dyDescent="0.3">
      <c r="A45" s="84" t="s">
        <v>327</v>
      </c>
      <c r="B45" s="93" t="s">
        <v>363</v>
      </c>
      <c r="C45" s="93" t="s">
        <v>363</v>
      </c>
      <c r="D45" s="93" t="s">
        <v>363</v>
      </c>
      <c r="E45" s="93" t="s">
        <v>363</v>
      </c>
      <c r="F45" s="93" t="s">
        <v>363</v>
      </c>
      <c r="G45" s="93" t="s">
        <v>363</v>
      </c>
      <c r="H45" s="93" t="s">
        <v>363</v>
      </c>
      <c r="I45" s="93" t="s">
        <v>363</v>
      </c>
      <c r="J45" s="93" t="s">
        <v>363</v>
      </c>
      <c r="K45" s="93" t="s">
        <v>363</v>
      </c>
      <c r="L45" s="93" t="s">
        <v>363</v>
      </c>
      <c r="M45" s="93" t="s">
        <v>363</v>
      </c>
      <c r="N45" s="93" t="s">
        <v>363</v>
      </c>
      <c r="O45" s="93" t="s">
        <v>363</v>
      </c>
      <c r="P45" s="93" t="s">
        <v>363</v>
      </c>
      <c r="Q45" s="93" t="s">
        <v>363</v>
      </c>
      <c r="R45" s="71" t="s">
        <v>363</v>
      </c>
      <c r="S45" s="71" t="s">
        <v>363</v>
      </c>
      <c r="T45" s="71" t="s">
        <v>363</v>
      </c>
      <c r="U45" s="71" t="s">
        <v>363</v>
      </c>
      <c r="V45" s="71" t="s">
        <v>363</v>
      </c>
      <c r="W45" s="71" t="s">
        <v>363</v>
      </c>
      <c r="X45" s="71" t="s">
        <v>363</v>
      </c>
      <c r="Y45" s="71" t="s">
        <v>363</v>
      </c>
      <c r="Z45" s="71" t="s">
        <v>363</v>
      </c>
      <c r="AA45" s="71" t="s">
        <v>363</v>
      </c>
      <c r="AB45" s="71" t="s">
        <v>363</v>
      </c>
      <c r="AC45" s="71" t="s">
        <v>363</v>
      </c>
      <c r="AD45" s="71" t="s">
        <v>367</v>
      </c>
      <c r="AE45" s="71" t="s">
        <v>364</v>
      </c>
      <c r="AF45" s="72" t="s">
        <v>367</v>
      </c>
      <c r="AG45" s="71">
        <f>COUNTIF(PayrollAttendance[[#This Row],[DAY1]:[DAY31]],"P")</f>
        <v>28</v>
      </c>
      <c r="AH45" s="71">
        <f>COUNTIF(PayrollAttendance[[#This Row],[DAY1]:[DAY31]],"A")</f>
        <v>2</v>
      </c>
      <c r="AI45" s="71">
        <f>COUNTIF(PayrollAttendance[[#This Row],[DAY1]:[DAY31]],"L")</f>
        <v>1</v>
      </c>
    </row>
    <row r="46" spans="1:35" x14ac:dyDescent="0.3">
      <c r="A46" s="80" t="s">
        <v>328</v>
      </c>
      <c r="B46" s="92" t="s">
        <v>363</v>
      </c>
      <c r="C46" s="92" t="s">
        <v>363</v>
      </c>
      <c r="D46" s="92" t="s">
        <v>363</v>
      </c>
      <c r="E46" s="92" t="s">
        <v>363</v>
      </c>
      <c r="F46" s="92" t="s">
        <v>363</v>
      </c>
      <c r="G46" s="92" t="s">
        <v>363</v>
      </c>
      <c r="H46" s="92" t="s">
        <v>363</v>
      </c>
      <c r="I46" s="92" t="s">
        <v>363</v>
      </c>
      <c r="J46" s="92" t="s">
        <v>363</v>
      </c>
      <c r="K46" s="92" t="s">
        <v>363</v>
      </c>
      <c r="L46" s="92" t="s">
        <v>363</v>
      </c>
      <c r="M46" s="92" t="s">
        <v>363</v>
      </c>
      <c r="N46" s="92" t="s">
        <v>363</v>
      </c>
      <c r="O46" s="92" t="s">
        <v>363</v>
      </c>
      <c r="P46" s="92" t="s">
        <v>363</v>
      </c>
      <c r="Q46" s="92" t="s">
        <v>363</v>
      </c>
      <c r="R46" s="75" t="s">
        <v>363</v>
      </c>
      <c r="S46" s="75" t="s">
        <v>363</v>
      </c>
      <c r="T46" s="75" t="s">
        <v>363</v>
      </c>
      <c r="U46" s="75" t="s">
        <v>363</v>
      </c>
      <c r="V46" s="75" t="s">
        <v>363</v>
      </c>
      <c r="W46" s="75" t="s">
        <v>363</v>
      </c>
      <c r="X46" s="75" t="s">
        <v>363</v>
      </c>
      <c r="Y46" s="75" t="s">
        <v>363</v>
      </c>
      <c r="Z46" s="75" t="s">
        <v>363</v>
      </c>
      <c r="AA46" s="75" t="s">
        <v>363</v>
      </c>
      <c r="AB46" s="75" t="s">
        <v>363</v>
      </c>
      <c r="AC46" s="75" t="s">
        <v>363</v>
      </c>
      <c r="AD46" s="75" t="s">
        <v>363</v>
      </c>
      <c r="AE46" s="75" t="s">
        <v>363</v>
      </c>
      <c r="AF46" s="76" t="s">
        <v>363</v>
      </c>
      <c r="AG46" s="71">
        <f>COUNTIF(PayrollAttendance[[#This Row],[DAY1]:[DAY31]],"P")</f>
        <v>31</v>
      </c>
      <c r="AH46" s="71">
        <f>COUNTIF(PayrollAttendance[[#This Row],[DAY1]:[DAY31]],"A")</f>
        <v>0</v>
      </c>
      <c r="AI46" s="71">
        <f>COUNTIF(PayrollAttendance[[#This Row],[DAY1]:[DAY31]],"L")</f>
        <v>0</v>
      </c>
    </row>
    <row r="47" spans="1:35" x14ac:dyDescent="0.3">
      <c r="A47" s="84" t="s">
        <v>329</v>
      </c>
      <c r="B47" s="93" t="s">
        <v>363</v>
      </c>
      <c r="C47" s="93" t="s">
        <v>363</v>
      </c>
      <c r="D47" s="93" t="s">
        <v>363</v>
      </c>
      <c r="E47" s="93" t="s">
        <v>363</v>
      </c>
      <c r="F47" s="93" t="s">
        <v>363</v>
      </c>
      <c r="G47" s="93" t="s">
        <v>363</v>
      </c>
      <c r="H47" s="93" t="s">
        <v>363</v>
      </c>
      <c r="I47" s="93" t="s">
        <v>363</v>
      </c>
      <c r="J47" s="93" t="s">
        <v>363</v>
      </c>
      <c r="K47" s="93" t="s">
        <v>363</v>
      </c>
      <c r="L47" s="93" t="s">
        <v>363</v>
      </c>
      <c r="M47" s="93" t="s">
        <v>363</v>
      </c>
      <c r="N47" s="93" t="s">
        <v>363</v>
      </c>
      <c r="O47" s="93" t="s">
        <v>363</v>
      </c>
      <c r="P47" s="93" t="s">
        <v>363</v>
      </c>
      <c r="Q47" s="93" t="s">
        <v>363</v>
      </c>
      <c r="R47" s="71" t="s">
        <v>363</v>
      </c>
      <c r="S47" s="71" t="s">
        <v>363</v>
      </c>
      <c r="T47" s="71" t="s">
        <v>363</v>
      </c>
      <c r="U47" s="71" t="s">
        <v>363</v>
      </c>
      <c r="V47" s="71" t="s">
        <v>363</v>
      </c>
      <c r="W47" s="71" t="s">
        <v>363</v>
      </c>
      <c r="X47" s="71" t="s">
        <v>363</v>
      </c>
      <c r="Y47" s="71" t="s">
        <v>363</v>
      </c>
      <c r="Z47" s="71" t="s">
        <v>363</v>
      </c>
      <c r="AA47" s="71" t="s">
        <v>363</v>
      </c>
      <c r="AB47" s="71" t="s">
        <v>363</v>
      </c>
      <c r="AC47" s="71" t="s">
        <v>363</v>
      </c>
      <c r="AD47" s="71" t="s">
        <v>363</v>
      </c>
      <c r="AE47" s="71" t="s">
        <v>364</v>
      </c>
      <c r="AF47" s="72" t="s">
        <v>364</v>
      </c>
      <c r="AG47" s="71">
        <f>COUNTIF(PayrollAttendance[[#This Row],[DAY1]:[DAY31]],"P")</f>
        <v>29</v>
      </c>
      <c r="AH47" s="71">
        <f>COUNTIF(PayrollAttendance[[#This Row],[DAY1]:[DAY31]],"A")</f>
        <v>0</v>
      </c>
      <c r="AI47" s="71">
        <f>COUNTIF(PayrollAttendance[[#This Row],[DAY1]:[DAY31]],"L")</f>
        <v>2</v>
      </c>
    </row>
    <row r="48" spans="1:35" x14ac:dyDescent="0.3">
      <c r="A48" s="80" t="s">
        <v>330</v>
      </c>
      <c r="B48" s="92" t="s">
        <v>363</v>
      </c>
      <c r="C48" s="92" t="s">
        <v>363</v>
      </c>
      <c r="D48" s="92" t="s">
        <v>363</v>
      </c>
      <c r="E48" s="92" t="s">
        <v>363</v>
      </c>
      <c r="F48" s="92" t="s">
        <v>363</v>
      </c>
      <c r="G48" s="92" t="s">
        <v>363</v>
      </c>
      <c r="H48" s="92" t="s">
        <v>363</v>
      </c>
      <c r="I48" s="92" t="s">
        <v>363</v>
      </c>
      <c r="J48" s="92" t="s">
        <v>363</v>
      </c>
      <c r="K48" s="92" t="s">
        <v>363</v>
      </c>
      <c r="L48" s="92" t="s">
        <v>363</v>
      </c>
      <c r="M48" s="92" t="s">
        <v>363</v>
      </c>
      <c r="N48" s="92" t="s">
        <v>363</v>
      </c>
      <c r="O48" s="92" t="s">
        <v>363</v>
      </c>
      <c r="P48" s="92" t="s">
        <v>363</v>
      </c>
      <c r="Q48" s="92" t="s">
        <v>363</v>
      </c>
      <c r="R48" s="75" t="s">
        <v>363</v>
      </c>
      <c r="S48" s="75" t="s">
        <v>363</v>
      </c>
      <c r="T48" s="75" t="s">
        <v>363</v>
      </c>
      <c r="U48" s="75" t="s">
        <v>363</v>
      </c>
      <c r="V48" s="75" t="s">
        <v>363</v>
      </c>
      <c r="W48" s="75" t="s">
        <v>363</v>
      </c>
      <c r="X48" s="75" t="s">
        <v>363</v>
      </c>
      <c r="Y48" s="75" t="s">
        <v>363</v>
      </c>
      <c r="Z48" s="75" t="s">
        <v>363</v>
      </c>
      <c r="AA48" s="75" t="s">
        <v>363</v>
      </c>
      <c r="AB48" s="75" t="s">
        <v>363</v>
      </c>
      <c r="AC48" s="75" t="s">
        <v>367</v>
      </c>
      <c r="AD48" s="75" t="s">
        <v>364</v>
      </c>
      <c r="AE48" s="75" t="s">
        <v>364</v>
      </c>
      <c r="AF48" s="76" t="s">
        <v>364</v>
      </c>
      <c r="AG48" s="71">
        <f>COUNTIF(PayrollAttendance[[#This Row],[DAY1]:[DAY31]],"P")</f>
        <v>27</v>
      </c>
      <c r="AH48" s="71">
        <f>COUNTIF(PayrollAttendance[[#This Row],[DAY1]:[DAY31]],"A")</f>
        <v>1</v>
      </c>
      <c r="AI48" s="71">
        <f>COUNTIF(PayrollAttendance[[#This Row],[DAY1]:[DAY31]],"L")</f>
        <v>3</v>
      </c>
    </row>
    <row r="49" spans="1:35" x14ac:dyDescent="0.3">
      <c r="A49" s="88" t="s">
        <v>331</v>
      </c>
      <c r="B49" s="94" t="s">
        <v>363</v>
      </c>
      <c r="C49" s="94" t="s">
        <v>363</v>
      </c>
      <c r="D49" s="94" t="s">
        <v>363</v>
      </c>
      <c r="E49" s="94" t="s">
        <v>363</v>
      </c>
      <c r="F49" s="94" t="s">
        <v>363</v>
      </c>
      <c r="G49" s="94" t="s">
        <v>363</v>
      </c>
      <c r="H49" s="94" t="s">
        <v>363</v>
      </c>
      <c r="I49" s="94" t="s">
        <v>363</v>
      </c>
      <c r="J49" s="94" t="s">
        <v>363</v>
      </c>
      <c r="K49" s="94" t="s">
        <v>363</v>
      </c>
      <c r="L49" s="94" t="s">
        <v>363</v>
      </c>
      <c r="M49" s="94" t="s">
        <v>363</v>
      </c>
      <c r="N49" s="94" t="s">
        <v>363</v>
      </c>
      <c r="O49" s="94" t="s">
        <v>363</v>
      </c>
      <c r="P49" s="94" t="s">
        <v>363</v>
      </c>
      <c r="Q49" s="94" t="s">
        <v>363</v>
      </c>
      <c r="R49" s="73" t="s">
        <v>363</v>
      </c>
      <c r="S49" s="73" t="s">
        <v>363</v>
      </c>
      <c r="T49" s="73" t="s">
        <v>363</v>
      </c>
      <c r="U49" s="73" t="s">
        <v>363</v>
      </c>
      <c r="V49" s="73" t="s">
        <v>363</v>
      </c>
      <c r="W49" s="73" t="s">
        <v>363</v>
      </c>
      <c r="X49" s="73" t="s">
        <v>363</v>
      </c>
      <c r="Y49" s="73" t="s">
        <v>363</v>
      </c>
      <c r="Z49" s="73" t="s">
        <v>363</v>
      </c>
      <c r="AA49" s="73" t="s">
        <v>363</v>
      </c>
      <c r="AB49" s="73" t="s">
        <v>363</v>
      </c>
      <c r="AC49" s="73" t="s">
        <v>367</v>
      </c>
      <c r="AD49" s="73" t="s">
        <v>367</v>
      </c>
      <c r="AE49" s="73" t="s">
        <v>364</v>
      </c>
      <c r="AF49" s="74" t="s">
        <v>364</v>
      </c>
      <c r="AG49" s="73">
        <f>COUNTIF(PayrollAttendance[[#This Row],[DAY1]:[DAY31]],"P")</f>
        <v>27</v>
      </c>
      <c r="AH49" s="73">
        <f>COUNTIF(PayrollAttendance[[#This Row],[DAY1]:[DAY31]],"A")</f>
        <v>2</v>
      </c>
      <c r="AI49" s="73">
        <f>COUNTIF(PayrollAttendance[[#This Row],[DAY1]:[DAY31]],"L")</f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9CA7-5436-41FE-9C43-CF3525004189}">
  <sheetPr>
    <tabColor rgb="FFD0E0E3"/>
  </sheetPr>
  <dimension ref="A1:ANI21"/>
  <sheetViews>
    <sheetView workbookViewId="0">
      <selection activeCell="B3" sqref="B3"/>
    </sheetView>
  </sheetViews>
  <sheetFormatPr defaultRowHeight="14.4" x14ac:dyDescent="0.3"/>
  <cols>
    <col min="1" max="1" width="16.6640625" customWidth="1"/>
    <col min="2" max="2" width="9.109375" bestFit="1" customWidth="1"/>
  </cols>
  <sheetData>
    <row r="1" spans="1:2 1049:1049" x14ac:dyDescent="0.3">
      <c r="A1" s="107" t="s">
        <v>368</v>
      </c>
    </row>
    <row r="2" spans="1:2 1049:1049" x14ac:dyDescent="0.3">
      <c r="A2" t="s">
        <v>369</v>
      </c>
      <c r="B2" t="s">
        <v>370</v>
      </c>
    </row>
    <row r="3" spans="1:2 1049:1049" x14ac:dyDescent="0.3">
      <c r="A3" t="s">
        <v>41</v>
      </c>
      <c r="B3">
        <v>1500</v>
      </c>
    </row>
    <row r="4" spans="1:2 1049:1049" x14ac:dyDescent="0.3">
      <c r="A4" t="s">
        <v>42</v>
      </c>
      <c r="B4" s="96">
        <v>4018500</v>
      </c>
    </row>
    <row r="5" spans="1:2 1049:1049" x14ac:dyDescent="0.3">
      <c r="A5" t="s">
        <v>155</v>
      </c>
      <c r="B5" s="96">
        <v>4020000</v>
      </c>
      <c r="ANI5" t="s">
        <v>450</v>
      </c>
    </row>
    <row r="7" spans="1:2 1049:1049" x14ac:dyDescent="0.3">
      <c r="A7" s="108" t="s">
        <v>446</v>
      </c>
      <c r="B7" s="108"/>
    </row>
    <row r="8" spans="1:2 1049:1049" x14ac:dyDescent="0.3">
      <c r="A8" t="s">
        <v>85</v>
      </c>
      <c r="B8" s="96">
        <v>25000</v>
      </c>
    </row>
    <row r="9" spans="1:2 1049:1049" x14ac:dyDescent="0.3">
      <c r="A9" t="s">
        <v>447</v>
      </c>
      <c r="B9" s="96">
        <v>30000</v>
      </c>
    </row>
    <row r="10" spans="1:2 1049:1049" x14ac:dyDescent="0.3">
      <c r="A10" t="s">
        <v>84</v>
      </c>
      <c r="B10" s="96">
        <v>2000</v>
      </c>
    </row>
    <row r="11" spans="1:2 1049:1049" x14ac:dyDescent="0.3">
      <c r="A11" t="s">
        <v>448</v>
      </c>
      <c r="B11" s="96">
        <v>12000</v>
      </c>
    </row>
    <row r="13" spans="1:2 1049:1049" x14ac:dyDescent="0.3">
      <c r="A13" s="109" t="s">
        <v>449</v>
      </c>
    </row>
    <row r="14" spans="1:2 1049:1049" x14ac:dyDescent="0.3">
      <c r="A14" s="11" t="s">
        <v>41</v>
      </c>
      <c r="B14" s="11" t="s">
        <v>155</v>
      </c>
    </row>
    <row r="15" spans="1:2 1049:1049" x14ac:dyDescent="0.3">
      <c r="B15" s="96">
        <v>4920000</v>
      </c>
    </row>
    <row r="16" spans="1:2 1049:1049" x14ac:dyDescent="0.3">
      <c r="A16">
        <v>45</v>
      </c>
      <c r="B16" s="96">
        <v>6750</v>
      </c>
    </row>
    <row r="17" spans="1:2" x14ac:dyDescent="0.3">
      <c r="A17">
        <v>56</v>
      </c>
      <c r="B17" s="96">
        <v>8400</v>
      </c>
    </row>
    <row r="18" spans="1:2" x14ac:dyDescent="0.3">
      <c r="A18">
        <v>89</v>
      </c>
      <c r="B18" s="96">
        <v>13350</v>
      </c>
    </row>
    <row r="19" spans="1:2" x14ac:dyDescent="0.3">
      <c r="A19">
        <v>23</v>
      </c>
      <c r="B19" s="96">
        <v>3450</v>
      </c>
    </row>
    <row r="20" spans="1:2" x14ac:dyDescent="0.3">
      <c r="A20">
        <v>56</v>
      </c>
      <c r="B20" s="96">
        <v>8400</v>
      </c>
    </row>
    <row r="21" spans="1:2" x14ac:dyDescent="0.3">
      <c r="A21">
        <v>89</v>
      </c>
      <c r="B21" s="96">
        <v>13350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D576-51CA-4E8B-993D-7D9623784F87}">
  <sheetPr>
    <tabColor rgb="FFD9D2E9"/>
  </sheetPr>
  <dimension ref="A1:N60"/>
  <sheetViews>
    <sheetView zoomScale="71" workbookViewId="0">
      <selection activeCell="B6" sqref="B6"/>
    </sheetView>
  </sheetViews>
  <sheetFormatPr defaultRowHeight="14.4" x14ac:dyDescent="0.3"/>
  <cols>
    <col min="1" max="1" width="65.6640625" bestFit="1" customWidth="1"/>
    <col min="2" max="2" width="12.6640625" bestFit="1" customWidth="1"/>
    <col min="3" max="3" width="17.33203125" bestFit="1" customWidth="1"/>
    <col min="4" max="4" width="15.33203125" bestFit="1" customWidth="1"/>
    <col min="5" max="5" width="9.44140625" bestFit="1" customWidth="1"/>
    <col min="6" max="6" width="18" bestFit="1" customWidth="1"/>
    <col min="7" max="7" width="15.6640625" bestFit="1" customWidth="1"/>
    <col min="8" max="8" width="12.21875" bestFit="1" customWidth="1"/>
    <col min="9" max="9" width="12.109375" bestFit="1" customWidth="1"/>
    <col min="10" max="10" width="11.77734375" bestFit="1" customWidth="1"/>
    <col min="11" max="11" width="12.6640625" bestFit="1" customWidth="1"/>
    <col min="12" max="12" width="17.6640625" bestFit="1" customWidth="1"/>
    <col min="13" max="13" width="12.88671875" bestFit="1" customWidth="1"/>
    <col min="14" max="14" width="9" bestFit="1" customWidth="1"/>
  </cols>
  <sheetData>
    <row r="1" spans="1:14" ht="18" x14ac:dyDescent="0.3">
      <c r="A1" s="120" t="s">
        <v>524</v>
      </c>
      <c r="B1" s="120"/>
      <c r="C1" s="120"/>
      <c r="D1" s="120"/>
      <c r="E1" s="120"/>
      <c r="F1" s="120"/>
      <c r="G1" s="121"/>
      <c r="H1" s="121"/>
      <c r="I1" s="121"/>
      <c r="J1" s="121"/>
      <c r="K1" s="121"/>
      <c r="L1" s="121"/>
      <c r="M1" s="121"/>
      <c r="N1" s="121"/>
    </row>
    <row r="2" spans="1:14" x14ac:dyDescent="0.3">
      <c r="A2" s="121" t="s">
        <v>525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1:14" x14ac:dyDescent="0.3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</row>
    <row r="4" spans="1:14" x14ac:dyDescent="0.3">
      <c r="A4" s="122" t="s">
        <v>526</v>
      </c>
      <c r="B4" s="122" t="s">
        <v>497</v>
      </c>
      <c r="C4" s="121"/>
      <c r="D4" s="122" t="s">
        <v>542</v>
      </c>
      <c r="E4" s="122"/>
      <c r="F4" s="122"/>
      <c r="G4" s="122"/>
      <c r="H4" s="122"/>
      <c r="I4" s="122"/>
      <c r="J4" s="121"/>
      <c r="K4" s="121"/>
      <c r="L4" s="121"/>
      <c r="M4" s="121"/>
      <c r="N4" s="121"/>
    </row>
    <row r="5" spans="1:14" x14ac:dyDescent="0.3">
      <c r="A5" s="121" t="s">
        <v>498</v>
      </c>
      <c r="B5" s="129">
        <f>SUM($K$32:$K$41)</f>
        <v>884580.65000000014</v>
      </c>
      <c r="C5" s="121"/>
      <c r="D5" s="122" t="s">
        <v>371</v>
      </c>
      <c r="E5" s="122" t="s">
        <v>453</v>
      </c>
      <c r="F5" s="122" t="s">
        <v>126</v>
      </c>
      <c r="G5" s="122" t="s">
        <v>481</v>
      </c>
      <c r="H5" s="122" t="s">
        <v>543</v>
      </c>
      <c r="I5" s="122" t="s">
        <v>544</v>
      </c>
      <c r="J5" s="121"/>
      <c r="K5" s="121"/>
      <c r="L5" s="121"/>
      <c r="M5" s="121"/>
      <c r="N5" s="121"/>
    </row>
    <row r="6" spans="1:14" x14ac:dyDescent="0.3">
      <c r="A6" s="121" t="s">
        <v>527</v>
      </c>
      <c r="B6" s="129">
        <f>SUM($N$32:$N$41)</f>
        <v>163925.54999999999</v>
      </c>
      <c r="C6" s="121"/>
      <c r="D6" s="121" t="s">
        <v>379</v>
      </c>
      <c r="E6" s="121">
        <f>SUMIF($F$32:$F$41,D6,$I$32:$I$41)</f>
        <v>12</v>
      </c>
      <c r="F6" s="129">
        <f>SUMIF($F$32:$F$41,D6,$K$32:$K$41)</f>
        <v>290528.65000000002</v>
      </c>
      <c r="G6" s="129">
        <f>SUMIF($F$32:$F$41,D6,$N$32:$N$41)</f>
        <v>72447.580000000016</v>
      </c>
      <c r="H6" s="129">
        <f t="shared" ref="H6:I8" si="0">IF(E6=0,0,F6/E6)</f>
        <v>24210.720833333336</v>
      </c>
      <c r="I6" s="123">
        <f t="shared" si="0"/>
        <v>0.24936466678931668</v>
      </c>
      <c r="J6" s="121"/>
      <c r="K6" s="121"/>
      <c r="L6" s="121"/>
      <c r="M6" s="121"/>
      <c r="N6" s="121"/>
    </row>
    <row r="7" spans="1:14" x14ac:dyDescent="0.3">
      <c r="A7" s="121" t="s">
        <v>528</v>
      </c>
      <c r="B7" s="129">
        <v>884580.65</v>
      </c>
      <c r="C7" s="121"/>
      <c r="D7" s="121" t="s">
        <v>389</v>
      </c>
      <c r="E7" s="121">
        <f>SUMIF($F$32:$F$41,D7,$I$32:$I$41)</f>
        <v>11</v>
      </c>
      <c r="F7" s="129">
        <f>SUMIF($F$32:$F$41,D7,$K$32:$K$41)</f>
        <v>383482.7</v>
      </c>
      <c r="G7" s="129">
        <f>SUMIF($F$32:$F$41,D7,$N$32:$N$41)</f>
        <v>59154.579999999994</v>
      </c>
      <c r="H7" s="129">
        <f t="shared" si="0"/>
        <v>34862.063636363637</v>
      </c>
      <c r="I7" s="123">
        <f t="shared" si="0"/>
        <v>0.15425618939263752</v>
      </c>
      <c r="J7" s="121"/>
      <c r="K7" s="121"/>
      <c r="L7" s="121"/>
      <c r="M7" s="121"/>
      <c r="N7" s="121"/>
    </row>
    <row r="8" spans="1:14" x14ac:dyDescent="0.3">
      <c r="A8" s="121" t="s">
        <v>529</v>
      </c>
      <c r="B8" s="129">
        <v>0</v>
      </c>
      <c r="C8" s="121"/>
      <c r="D8" s="121" t="s">
        <v>490</v>
      </c>
      <c r="E8" s="121">
        <f>SUMIF($F$32:$F$41,D8,$I$32:$I$41)</f>
        <v>10</v>
      </c>
      <c r="F8" s="129">
        <f>SUMIF($F$32:$F$41,D8,$K$32:$K$41)</f>
        <v>210569.3</v>
      </c>
      <c r="G8" s="129">
        <f>SUMIF($F$32:$F$41,D8,$N$32:$N$41)</f>
        <v>32323.39</v>
      </c>
      <c r="H8" s="129">
        <f t="shared" si="0"/>
        <v>21056.93</v>
      </c>
      <c r="I8" s="123">
        <f t="shared" si="0"/>
        <v>0.15350476066549112</v>
      </c>
      <c r="J8" s="121"/>
      <c r="K8" s="121"/>
      <c r="L8" s="121"/>
      <c r="M8" s="121"/>
      <c r="N8" s="121"/>
    </row>
    <row r="9" spans="1:14" x14ac:dyDescent="0.3">
      <c r="A9" s="121" t="s">
        <v>530</v>
      </c>
      <c r="B9" s="129">
        <f>B7-B5</f>
        <v>0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</row>
    <row r="10" spans="1:14" x14ac:dyDescent="0.3">
      <c r="A10" s="121"/>
      <c r="B10" s="129"/>
      <c r="C10" s="121"/>
      <c r="D10" s="122" t="s">
        <v>545</v>
      </c>
      <c r="E10" s="122"/>
      <c r="F10" s="122"/>
      <c r="G10" s="122"/>
      <c r="H10" s="122"/>
      <c r="I10" s="122"/>
      <c r="J10" s="121"/>
      <c r="K10" s="121"/>
      <c r="L10" s="121"/>
      <c r="M10" s="121"/>
      <c r="N10" s="121"/>
    </row>
    <row r="11" spans="1:14" x14ac:dyDescent="0.3">
      <c r="A11" s="122" t="s">
        <v>531</v>
      </c>
      <c r="B11" s="129" t="s">
        <v>497</v>
      </c>
      <c r="C11" s="121"/>
      <c r="D11" s="125" t="s">
        <v>546</v>
      </c>
      <c r="E11" s="125">
        <f>SUM(E6:E8)</f>
        <v>33</v>
      </c>
      <c r="F11" s="125"/>
      <c r="G11" s="121"/>
      <c r="H11" s="121"/>
      <c r="I11" s="121"/>
      <c r="J11" s="121"/>
      <c r="K11" s="121"/>
      <c r="L11" s="121"/>
      <c r="M11" s="121"/>
      <c r="N11" s="121"/>
    </row>
    <row r="12" spans="1:14" x14ac:dyDescent="0.3">
      <c r="A12" s="121" t="s">
        <v>532</v>
      </c>
      <c r="B12" s="129">
        <f>B9</f>
        <v>0</v>
      </c>
      <c r="C12" s="121"/>
      <c r="D12" s="125" t="s">
        <v>240</v>
      </c>
      <c r="E12" s="125"/>
      <c r="F12" s="125">
        <f>SUM(F6:F8)</f>
        <v>884580.65000000014</v>
      </c>
      <c r="G12" s="121"/>
      <c r="H12" s="121"/>
      <c r="I12" s="121"/>
      <c r="J12" s="121"/>
      <c r="K12" s="121"/>
      <c r="L12" s="121"/>
      <c r="M12" s="121"/>
      <c r="N12" s="121"/>
    </row>
    <row r="13" spans="1:14" x14ac:dyDescent="0.3">
      <c r="A13" s="121" t="s">
        <v>533</v>
      </c>
      <c r="B13" s="129">
        <f>B5</f>
        <v>884580.65000000014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</row>
    <row r="14" spans="1:14" x14ac:dyDescent="0.3">
      <c r="A14" s="121" t="s">
        <v>534</v>
      </c>
      <c r="B14" s="129">
        <f>B8</f>
        <v>0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</row>
    <row r="15" spans="1:14" x14ac:dyDescent="0.3">
      <c r="A15" s="125" t="s">
        <v>535</v>
      </c>
      <c r="B15" s="129">
        <f>B13-B14</f>
        <v>884580.65000000014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</row>
    <row r="16" spans="1:14" x14ac:dyDescent="0.3">
      <c r="A16" s="121" t="s">
        <v>536</v>
      </c>
      <c r="B16" s="129">
        <v>0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</row>
    <row r="17" spans="1:14" x14ac:dyDescent="0.3">
      <c r="A17" s="121" t="s">
        <v>537</v>
      </c>
      <c r="B17" s="129">
        <v>0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</row>
    <row r="18" spans="1:14" x14ac:dyDescent="0.3">
      <c r="A18" s="121" t="s">
        <v>538</v>
      </c>
      <c r="B18" s="129">
        <f>B15+B16+B17</f>
        <v>884580.65000000014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</row>
    <row r="19" spans="1:14" x14ac:dyDescent="0.3">
      <c r="A19" s="125" t="s">
        <v>539</v>
      </c>
      <c r="B19" s="129">
        <f>B12+B18</f>
        <v>884580.65000000014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</row>
    <row r="20" spans="1:14" x14ac:dyDescent="0.3">
      <c r="A20" s="125" t="s">
        <v>540</v>
      </c>
      <c r="B20" s="129">
        <f>B19-B7</f>
        <v>0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</row>
    <row r="21" spans="1:14" x14ac:dyDescent="0.3">
      <c r="A21" s="125" t="s">
        <v>541</v>
      </c>
      <c r="B21" s="125" t="str">
        <f>IF(B20=0,"PASS","CHECK")</f>
        <v>PASS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</row>
    <row r="22" spans="1:14" x14ac:dyDescent="0.3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</row>
    <row r="23" spans="1:14" x14ac:dyDescent="0.3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</row>
    <row r="24" spans="1:14" x14ac:dyDescent="0.3">
      <c r="A24" s="30" t="s">
        <v>547</v>
      </c>
      <c r="B24" s="30" t="s">
        <v>497</v>
      </c>
      <c r="C24" s="30" t="s">
        <v>548</v>
      </c>
      <c r="D24" s="30" t="s">
        <v>549</v>
      </c>
      <c r="E24" s="121"/>
      <c r="F24" s="30" t="s">
        <v>555</v>
      </c>
      <c r="G24" s="30" t="s">
        <v>497</v>
      </c>
      <c r="H24" s="121"/>
      <c r="I24" s="121"/>
      <c r="J24" s="121"/>
      <c r="K24" s="121"/>
      <c r="L24" s="121"/>
      <c r="M24" s="121"/>
      <c r="N24" s="121"/>
    </row>
    <row r="25" spans="1:14" x14ac:dyDescent="0.3">
      <c r="A25" t="s">
        <v>396</v>
      </c>
      <c r="B25" s="130">
        <f>SUMIF($L$32:$L$41,A25,$K$32:$K$41)</f>
        <v>387149</v>
      </c>
      <c r="C25" t="s">
        <v>550</v>
      </c>
      <c r="D25" t="str">
        <f>IF(B25&gt;=0,"OK","CHECK")</f>
        <v>OK</v>
      </c>
      <c r="E25" s="121"/>
      <c r="F25" t="s">
        <v>557</v>
      </c>
      <c r="G25" s="130">
        <f>B29-B5</f>
        <v>0</v>
      </c>
      <c r="H25" s="121"/>
      <c r="I25" s="121"/>
      <c r="J25" s="121"/>
      <c r="K25" s="121"/>
      <c r="L25" s="121"/>
      <c r="M25" s="121"/>
      <c r="N25" s="121"/>
    </row>
    <row r="26" spans="1:14" x14ac:dyDescent="0.3">
      <c r="A26" t="s">
        <v>382</v>
      </c>
      <c r="B26" s="130">
        <f>SUMIF($L$32:$L$41,A26,$K$32:$K$41)</f>
        <v>73443.600000000006</v>
      </c>
      <c r="C26" t="s">
        <v>551</v>
      </c>
      <c r="D26" t="str">
        <f>IF(B26&gt;=0,"OK","CHECK")</f>
        <v>OK</v>
      </c>
      <c r="E26" s="121"/>
      <c r="F26" s="121"/>
      <c r="G26" s="121"/>
      <c r="H26" s="121"/>
      <c r="I26" s="121"/>
      <c r="J26" s="121"/>
      <c r="K26" s="121"/>
      <c r="L26" s="121"/>
      <c r="M26" s="121"/>
      <c r="N26" s="121"/>
    </row>
    <row r="27" spans="1:14" x14ac:dyDescent="0.3">
      <c r="A27" t="s">
        <v>401</v>
      </c>
      <c r="B27" s="130">
        <f>SUMIF($L$32:$L$41,A27,$K$32:$K$41)</f>
        <v>316051.20000000001</v>
      </c>
      <c r="C27" t="s">
        <v>551</v>
      </c>
      <c r="D27" t="str">
        <f>IF(B27&gt;=0,"OK","CHECK")</f>
        <v>OK</v>
      </c>
      <c r="E27" s="121"/>
      <c r="F27" s="121"/>
      <c r="G27" s="121"/>
      <c r="H27" s="121"/>
      <c r="I27" s="121"/>
      <c r="J27" s="121"/>
      <c r="K27" s="121"/>
      <c r="L27" s="121"/>
      <c r="M27" s="121"/>
      <c r="N27" s="121"/>
    </row>
    <row r="28" spans="1:14" x14ac:dyDescent="0.3">
      <c r="A28" t="s">
        <v>387</v>
      </c>
      <c r="B28" s="130">
        <f>SUMIF($L$32:$L$41,A28,$K$32:$K$41)</f>
        <v>107936.85</v>
      </c>
      <c r="C28" t="s">
        <v>552</v>
      </c>
      <c r="D28" t="str">
        <f>IF(B28&gt;=0,"OK","CHECK")</f>
        <v>OK</v>
      </c>
      <c r="E28" s="121"/>
      <c r="F28" s="121"/>
      <c r="G28" s="121"/>
      <c r="H28" s="121"/>
      <c r="I28" s="121"/>
      <c r="J28" s="121"/>
      <c r="K28" s="121"/>
      <c r="L28" s="121"/>
      <c r="M28" s="121"/>
      <c r="N28" s="121"/>
    </row>
    <row r="29" spans="1:14" x14ac:dyDescent="0.3">
      <c r="A29" s="11" t="s">
        <v>553</v>
      </c>
      <c r="B29" s="130">
        <f>SUM(B25:B28)</f>
        <v>884580.65</v>
      </c>
      <c r="C29" s="11" t="s">
        <v>554</v>
      </c>
      <c r="D29" s="11" t="str">
        <f>IF(B29=B5,"PASS","CHECK")</f>
        <v>PASS</v>
      </c>
      <c r="E29" s="121"/>
      <c r="F29" s="121"/>
      <c r="G29" s="121"/>
      <c r="H29" s="121"/>
      <c r="I29" s="121"/>
      <c r="J29" s="121"/>
      <c r="K29" s="121"/>
      <c r="L29" s="121"/>
      <c r="M29" s="121"/>
      <c r="N29" s="121"/>
    </row>
    <row r="30" spans="1:14" x14ac:dyDescent="0.3">
      <c r="A30" s="122" t="s">
        <v>556</v>
      </c>
      <c r="B30" s="124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</row>
    <row r="31" spans="1:14" x14ac:dyDescent="0.3">
      <c r="A31" s="126" t="s">
        <v>470</v>
      </c>
      <c r="B31" s="126" t="s">
        <v>471</v>
      </c>
      <c r="C31" s="126" t="s">
        <v>472</v>
      </c>
      <c r="D31" s="126" t="s">
        <v>160</v>
      </c>
      <c r="E31" s="126" t="s">
        <v>238</v>
      </c>
      <c r="F31" s="126" t="s">
        <v>473</v>
      </c>
      <c r="G31" s="126" t="s">
        <v>474</v>
      </c>
      <c r="H31" s="126" t="s">
        <v>475</v>
      </c>
      <c r="I31" s="126" t="s">
        <v>476</v>
      </c>
      <c r="J31" s="126" t="s">
        <v>477</v>
      </c>
      <c r="K31" s="126" t="s">
        <v>478</v>
      </c>
      <c r="L31" s="126" t="s">
        <v>479</v>
      </c>
      <c r="M31" s="126" t="s">
        <v>480</v>
      </c>
      <c r="N31" s="126" t="s">
        <v>481</v>
      </c>
    </row>
    <row r="32" spans="1:14" x14ac:dyDescent="0.3">
      <c r="A32" s="127">
        <v>1001</v>
      </c>
      <c r="B32" s="128">
        <v>45658</v>
      </c>
      <c r="C32" s="127" t="s">
        <v>482</v>
      </c>
      <c r="D32" s="127" t="s">
        <v>483</v>
      </c>
      <c r="E32" s="127" t="s">
        <v>130</v>
      </c>
      <c r="F32" s="127" t="s">
        <v>379</v>
      </c>
      <c r="G32" s="127" t="s">
        <v>484</v>
      </c>
      <c r="H32" s="127" t="s">
        <v>115</v>
      </c>
      <c r="I32" s="127">
        <v>4</v>
      </c>
      <c r="J32" s="127">
        <v>20401</v>
      </c>
      <c r="K32" s="127">
        <v>73443.600000000006</v>
      </c>
      <c r="L32" s="127" t="s">
        <v>382</v>
      </c>
      <c r="M32" s="127">
        <v>10</v>
      </c>
      <c r="N32" s="127">
        <v>21019.15</v>
      </c>
    </row>
    <row r="33" spans="1:14" x14ac:dyDescent="0.3">
      <c r="A33" s="127">
        <v>1002</v>
      </c>
      <c r="B33" s="128">
        <v>45658</v>
      </c>
      <c r="C33" s="127" t="s">
        <v>485</v>
      </c>
      <c r="D33" s="127" t="s">
        <v>163</v>
      </c>
      <c r="E33" s="127" t="s">
        <v>129</v>
      </c>
      <c r="F33" s="127" t="s">
        <v>379</v>
      </c>
      <c r="G33" s="127" t="s">
        <v>484</v>
      </c>
      <c r="H33" s="127" t="s">
        <v>486</v>
      </c>
      <c r="I33" s="127">
        <v>4</v>
      </c>
      <c r="J33" s="127">
        <v>17480</v>
      </c>
      <c r="K33" s="127">
        <v>66424</v>
      </c>
      <c r="L33" s="127" t="s">
        <v>396</v>
      </c>
      <c r="M33" s="127">
        <v>5</v>
      </c>
      <c r="N33" s="127">
        <v>15368.62</v>
      </c>
    </row>
    <row r="34" spans="1:14" x14ac:dyDescent="0.3">
      <c r="A34" s="127">
        <v>1003</v>
      </c>
      <c r="B34" s="128">
        <v>45658</v>
      </c>
      <c r="C34" s="127" t="s">
        <v>487</v>
      </c>
      <c r="D34" s="127" t="s">
        <v>483</v>
      </c>
      <c r="E34" s="127" t="s">
        <v>130</v>
      </c>
      <c r="F34" s="127" t="s">
        <v>389</v>
      </c>
      <c r="G34" s="127" t="s">
        <v>488</v>
      </c>
      <c r="H34" s="127" t="s">
        <v>114</v>
      </c>
      <c r="I34" s="127">
        <v>1</v>
      </c>
      <c r="J34" s="127">
        <v>20603</v>
      </c>
      <c r="K34" s="127">
        <v>18542.7</v>
      </c>
      <c r="L34" s="127" t="s">
        <v>401</v>
      </c>
      <c r="M34" s="127">
        <v>10</v>
      </c>
      <c r="N34" s="127">
        <v>3595.24</v>
      </c>
    </row>
    <row r="35" spans="1:14" x14ac:dyDescent="0.3">
      <c r="A35" s="127">
        <v>1004</v>
      </c>
      <c r="B35" s="128">
        <v>45659</v>
      </c>
      <c r="C35" s="127" t="s">
        <v>489</v>
      </c>
      <c r="D35" s="127" t="s">
        <v>483</v>
      </c>
      <c r="E35" s="127" t="s">
        <v>130</v>
      </c>
      <c r="F35" s="127" t="s">
        <v>490</v>
      </c>
      <c r="G35" s="127" t="s">
        <v>491</v>
      </c>
      <c r="H35" s="127" t="s">
        <v>114</v>
      </c>
      <c r="I35" s="127">
        <v>2</v>
      </c>
      <c r="J35" s="127">
        <v>35787</v>
      </c>
      <c r="K35" s="127">
        <v>71574</v>
      </c>
      <c r="L35" s="127" t="s">
        <v>401</v>
      </c>
      <c r="M35" s="127">
        <v>0</v>
      </c>
      <c r="N35" s="127">
        <v>10999.85</v>
      </c>
    </row>
    <row r="36" spans="1:14" x14ac:dyDescent="0.3">
      <c r="A36" s="127">
        <v>1005</v>
      </c>
      <c r="B36" s="128">
        <v>45659</v>
      </c>
      <c r="C36" s="127" t="s">
        <v>485</v>
      </c>
      <c r="D36" s="127" t="s">
        <v>166</v>
      </c>
      <c r="E36" s="127" t="s">
        <v>132</v>
      </c>
      <c r="F36" s="127" t="s">
        <v>389</v>
      </c>
      <c r="G36" s="127" t="s">
        <v>488</v>
      </c>
      <c r="H36" s="127" t="s">
        <v>112</v>
      </c>
      <c r="I36" s="127">
        <v>5</v>
      </c>
      <c r="J36" s="127">
        <v>41396</v>
      </c>
      <c r="K36" s="127">
        <v>206980</v>
      </c>
      <c r="L36" s="127" t="s">
        <v>396</v>
      </c>
      <c r="M36" s="127">
        <v>0</v>
      </c>
      <c r="N36" s="127">
        <v>34168.81</v>
      </c>
    </row>
    <row r="37" spans="1:14" x14ac:dyDescent="0.3">
      <c r="A37" s="127">
        <v>1006</v>
      </c>
      <c r="B37" s="128">
        <v>45660</v>
      </c>
      <c r="C37" s="127" t="s">
        <v>489</v>
      </c>
      <c r="D37" s="127" t="s">
        <v>483</v>
      </c>
      <c r="E37" s="127" t="s">
        <v>130</v>
      </c>
      <c r="F37" s="127" t="s">
        <v>389</v>
      </c>
      <c r="G37" s="127" t="s">
        <v>492</v>
      </c>
      <c r="H37" s="127" t="s">
        <v>486</v>
      </c>
      <c r="I37" s="127">
        <v>5</v>
      </c>
      <c r="J37" s="127">
        <v>31592</v>
      </c>
      <c r="K37" s="127">
        <v>157960</v>
      </c>
      <c r="L37" s="127" t="s">
        <v>401</v>
      </c>
      <c r="M37" s="127">
        <v>0</v>
      </c>
      <c r="N37" s="127">
        <v>21390.53</v>
      </c>
    </row>
    <row r="38" spans="1:14" x14ac:dyDescent="0.3">
      <c r="A38" s="127">
        <v>1007</v>
      </c>
      <c r="B38" s="128">
        <v>45660</v>
      </c>
      <c r="C38" s="127" t="s">
        <v>482</v>
      </c>
      <c r="D38" s="127" t="s">
        <v>179</v>
      </c>
      <c r="E38" s="127" t="s">
        <v>132</v>
      </c>
      <c r="F38" s="127" t="s">
        <v>379</v>
      </c>
      <c r="G38" s="127" t="s">
        <v>484</v>
      </c>
      <c r="H38" s="127" t="s">
        <v>114</v>
      </c>
      <c r="I38" s="127">
        <v>3</v>
      </c>
      <c r="J38" s="127">
        <v>37915</v>
      </c>
      <c r="K38" s="127">
        <v>113745</v>
      </c>
      <c r="L38" s="127" t="s">
        <v>396</v>
      </c>
      <c r="M38" s="127">
        <v>0</v>
      </c>
      <c r="N38" s="127">
        <v>30022.959999999999</v>
      </c>
    </row>
    <row r="39" spans="1:14" x14ac:dyDescent="0.3">
      <c r="A39" s="127">
        <v>1008</v>
      </c>
      <c r="B39" s="128">
        <v>45661</v>
      </c>
      <c r="C39" s="127" t="s">
        <v>493</v>
      </c>
      <c r="D39" s="127" t="s">
        <v>166</v>
      </c>
      <c r="E39" s="127" t="s">
        <v>132</v>
      </c>
      <c r="F39" s="127" t="s">
        <v>379</v>
      </c>
      <c r="G39" s="127" t="s">
        <v>484</v>
      </c>
      <c r="H39" s="127" t="s">
        <v>114</v>
      </c>
      <c r="I39" s="127">
        <v>1</v>
      </c>
      <c r="J39" s="127">
        <v>38859</v>
      </c>
      <c r="K39" s="127">
        <v>36916.050000000003</v>
      </c>
      <c r="L39" s="127" t="s">
        <v>387</v>
      </c>
      <c r="M39" s="127">
        <v>5</v>
      </c>
      <c r="N39" s="127">
        <v>6036.85</v>
      </c>
    </row>
    <row r="40" spans="1:14" x14ac:dyDescent="0.3">
      <c r="A40" s="127">
        <v>1009</v>
      </c>
      <c r="B40" s="128">
        <v>45661</v>
      </c>
      <c r="C40" s="127" t="s">
        <v>487</v>
      </c>
      <c r="D40" s="127" t="s">
        <v>166</v>
      </c>
      <c r="E40" s="127" t="s">
        <v>132</v>
      </c>
      <c r="F40" s="127" t="s">
        <v>490</v>
      </c>
      <c r="G40" s="127" t="s">
        <v>494</v>
      </c>
      <c r="H40" s="127" t="s">
        <v>115</v>
      </c>
      <c r="I40" s="127">
        <v>3</v>
      </c>
      <c r="J40" s="127">
        <v>26304</v>
      </c>
      <c r="K40" s="127">
        <v>71020.800000000003</v>
      </c>
      <c r="L40" s="127" t="s">
        <v>387</v>
      </c>
      <c r="M40" s="127">
        <v>10</v>
      </c>
      <c r="N40" s="127">
        <v>8473.11</v>
      </c>
    </row>
    <row r="41" spans="1:14" x14ac:dyDescent="0.3">
      <c r="A41" s="127">
        <v>1010</v>
      </c>
      <c r="B41" s="128">
        <v>45661</v>
      </c>
      <c r="C41" s="127" t="s">
        <v>485</v>
      </c>
      <c r="D41" s="127" t="s">
        <v>166</v>
      </c>
      <c r="E41" s="127" t="s">
        <v>132</v>
      </c>
      <c r="F41" s="127" t="s">
        <v>490</v>
      </c>
      <c r="G41" s="127" t="s">
        <v>495</v>
      </c>
      <c r="H41" s="127" t="s">
        <v>114</v>
      </c>
      <c r="I41" s="127">
        <v>5</v>
      </c>
      <c r="J41" s="127">
        <v>15994</v>
      </c>
      <c r="K41" s="127">
        <v>67974.5</v>
      </c>
      <c r="L41" s="127" t="s">
        <v>401</v>
      </c>
      <c r="M41" s="127">
        <v>15</v>
      </c>
      <c r="N41" s="127">
        <v>12850.43</v>
      </c>
    </row>
    <row r="42" spans="1:14" x14ac:dyDescent="0.3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</row>
    <row r="43" spans="1:14" x14ac:dyDescent="0.3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</row>
    <row r="44" spans="1:14" x14ac:dyDescent="0.3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</row>
    <row r="45" spans="1:14" x14ac:dyDescent="0.3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</row>
    <row r="46" spans="1:14" x14ac:dyDescent="0.3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</row>
    <row r="47" spans="1:14" x14ac:dyDescent="0.3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</row>
    <row r="48" spans="1:14" x14ac:dyDescent="0.3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</row>
    <row r="49" spans="1:14" x14ac:dyDescent="0.3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</row>
    <row r="50" spans="1:14" x14ac:dyDescent="0.3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</row>
    <row r="51" spans="1:14" x14ac:dyDescent="0.3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</row>
    <row r="52" spans="1:14" x14ac:dyDescent="0.3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</row>
    <row r="53" spans="1:14" x14ac:dyDescent="0.3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</row>
    <row r="54" spans="1:14" x14ac:dyDescent="0.3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</row>
    <row r="55" spans="1:14" x14ac:dyDescent="0.3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</row>
    <row r="56" spans="1:14" x14ac:dyDescent="0.3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</row>
    <row r="57" spans="1:14" x14ac:dyDescent="0.3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</row>
    <row r="58" spans="1:14" x14ac:dyDescent="0.3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</row>
    <row r="59" spans="1:14" x14ac:dyDescent="0.3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</row>
    <row r="60" spans="1:14" x14ac:dyDescent="0.3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052D-748F-41E9-BCFD-C42CC79DD7F7}">
  <dimension ref="A1:T11"/>
  <sheetViews>
    <sheetView topLeftCell="E1" workbookViewId="0">
      <selection activeCell="M19" sqref="M19"/>
    </sheetView>
  </sheetViews>
  <sheetFormatPr defaultRowHeight="14.4" x14ac:dyDescent="0.3"/>
  <cols>
    <col min="1" max="1" width="10.21875" customWidth="1"/>
    <col min="2" max="2" width="12.33203125" customWidth="1"/>
    <col min="3" max="3" width="16.77734375" customWidth="1"/>
    <col min="4" max="4" width="9.77734375" bestFit="1" customWidth="1"/>
    <col min="5" max="5" width="8.44140625" customWidth="1"/>
    <col min="6" max="6" width="17.5546875" customWidth="1"/>
    <col min="7" max="7" width="15.21875" customWidth="1"/>
    <col min="8" max="8" width="11.44140625" customWidth="1"/>
    <col min="9" max="9" width="11.77734375" customWidth="1"/>
    <col min="10" max="10" width="11.44140625" customWidth="1"/>
    <col min="11" max="11" width="12.33203125" customWidth="1"/>
    <col min="12" max="12" width="17.21875" customWidth="1"/>
    <col min="13" max="13" width="12.5546875" customWidth="1"/>
    <col min="14" max="14" width="9" bestFit="1" customWidth="1"/>
    <col min="17" max="17" width="11.88671875" customWidth="1"/>
    <col min="19" max="19" width="15.21875" customWidth="1"/>
  </cols>
  <sheetData>
    <row r="1" spans="1:20" x14ac:dyDescent="0.3">
      <c r="A1" s="110" t="s">
        <v>470</v>
      </c>
      <c r="B1" s="110" t="s">
        <v>471</v>
      </c>
      <c r="C1" s="110" t="s">
        <v>472</v>
      </c>
      <c r="D1" s="110" t="s">
        <v>160</v>
      </c>
      <c r="E1" s="110" t="s">
        <v>238</v>
      </c>
      <c r="F1" s="110" t="s">
        <v>473</v>
      </c>
      <c r="G1" s="110" t="s">
        <v>474</v>
      </c>
      <c r="H1" s="110" t="s">
        <v>475</v>
      </c>
      <c r="I1" s="110" t="s">
        <v>476</v>
      </c>
      <c r="J1" s="110" t="s">
        <v>477</v>
      </c>
      <c r="K1" s="110" t="s">
        <v>478</v>
      </c>
      <c r="L1" s="110" t="s">
        <v>479</v>
      </c>
      <c r="M1" s="110" t="s">
        <v>480</v>
      </c>
      <c r="N1" s="110" t="s">
        <v>481</v>
      </c>
      <c r="P1" s="148" t="s">
        <v>238</v>
      </c>
      <c r="Q1" s="148" t="s">
        <v>240</v>
      </c>
      <c r="S1" s="148" t="s">
        <v>371</v>
      </c>
      <c r="T1" s="148" t="s">
        <v>516</v>
      </c>
    </row>
    <row r="2" spans="1:20" x14ac:dyDescent="0.3">
      <c r="A2">
        <v>1001</v>
      </c>
      <c r="B2" s="5">
        <v>45658</v>
      </c>
      <c r="C2" t="s">
        <v>482</v>
      </c>
      <c r="D2" t="s">
        <v>483</v>
      </c>
      <c r="E2" t="s">
        <v>130</v>
      </c>
      <c r="F2" t="s">
        <v>379</v>
      </c>
      <c r="G2" t="s">
        <v>484</v>
      </c>
      <c r="H2" t="s">
        <v>115</v>
      </c>
      <c r="I2">
        <v>4</v>
      </c>
      <c r="J2">
        <v>20401</v>
      </c>
      <c r="K2">
        <v>73443.600000000006</v>
      </c>
      <c r="L2" t="s">
        <v>382</v>
      </c>
      <c r="M2">
        <v>10</v>
      </c>
      <c r="N2">
        <v>21019.15</v>
      </c>
      <c r="P2" t="s">
        <v>129</v>
      </c>
      <c r="Q2">
        <f>SUMIF(Table14[[#All],[Region]],"north",Table14[[#All],[Total_Sales]])</f>
        <v>66424</v>
      </c>
      <c r="S2" t="s">
        <v>490</v>
      </c>
      <c r="T2">
        <f>SUMIF(Table14[[#All],[Product_Category]],"clothing",Table14[[#All],[Profit]])</f>
        <v>32323.39</v>
      </c>
    </row>
    <row r="3" spans="1:20" x14ac:dyDescent="0.3">
      <c r="A3">
        <v>1002</v>
      </c>
      <c r="B3" s="5">
        <v>45658</v>
      </c>
      <c r="C3" t="s">
        <v>485</v>
      </c>
      <c r="D3" t="s">
        <v>163</v>
      </c>
      <c r="E3" t="s">
        <v>129</v>
      </c>
      <c r="F3" t="s">
        <v>379</v>
      </c>
      <c r="G3" t="s">
        <v>484</v>
      </c>
      <c r="H3" t="s">
        <v>486</v>
      </c>
      <c r="I3">
        <v>4</v>
      </c>
      <c r="J3">
        <v>17480</v>
      </c>
      <c r="K3">
        <v>66424</v>
      </c>
      <c r="L3" t="s">
        <v>396</v>
      </c>
      <c r="M3">
        <v>5</v>
      </c>
      <c r="N3">
        <v>15368.62</v>
      </c>
      <c r="P3" t="s">
        <v>130</v>
      </c>
      <c r="Q3">
        <f>SUMIF(Table14[[#All],[Region]],"south",Table14[[#All],[Total_Sales]])</f>
        <v>321520.3</v>
      </c>
      <c r="S3" t="s">
        <v>379</v>
      </c>
      <c r="T3">
        <f>SUMIF(Table14[[#All],[Product_Category]],"electronics",Table14[[#All],[Profit]])</f>
        <v>72447.580000000016</v>
      </c>
    </row>
    <row r="4" spans="1:20" x14ac:dyDescent="0.3">
      <c r="A4">
        <v>1003</v>
      </c>
      <c r="B4" s="5">
        <v>45658</v>
      </c>
      <c r="C4" t="s">
        <v>487</v>
      </c>
      <c r="D4" t="s">
        <v>483</v>
      </c>
      <c r="E4" t="s">
        <v>130</v>
      </c>
      <c r="F4" t="s">
        <v>389</v>
      </c>
      <c r="G4" t="s">
        <v>488</v>
      </c>
      <c r="H4" t="s">
        <v>114</v>
      </c>
      <c r="I4">
        <v>1</v>
      </c>
      <c r="J4">
        <v>20603</v>
      </c>
      <c r="K4">
        <v>18542.7</v>
      </c>
      <c r="L4" t="s">
        <v>401</v>
      </c>
      <c r="M4">
        <v>10</v>
      </c>
      <c r="N4">
        <v>3595.24</v>
      </c>
      <c r="P4" t="s">
        <v>132</v>
      </c>
      <c r="Q4">
        <f>SUMIF(Table14[[#All],[Region]],"west",Table14[[#All],[Total_Sales]])</f>
        <v>496636.35</v>
      </c>
      <c r="S4" t="s">
        <v>389</v>
      </c>
      <c r="T4">
        <f>SUMIF(Table14[[#All],[Product_Category]],"furniture",Table14[[#All],[Profit]])</f>
        <v>59154.579999999994</v>
      </c>
    </row>
    <row r="5" spans="1:20" x14ac:dyDescent="0.3">
      <c r="A5">
        <v>1004</v>
      </c>
      <c r="B5" s="5">
        <v>45659</v>
      </c>
      <c r="C5" t="s">
        <v>489</v>
      </c>
      <c r="D5" t="s">
        <v>483</v>
      </c>
      <c r="E5" t="s">
        <v>130</v>
      </c>
      <c r="F5" t="s">
        <v>490</v>
      </c>
      <c r="G5" t="s">
        <v>491</v>
      </c>
      <c r="H5" t="s">
        <v>114</v>
      </c>
      <c r="I5">
        <v>2</v>
      </c>
      <c r="J5">
        <v>35787</v>
      </c>
      <c r="K5">
        <v>71574</v>
      </c>
      <c r="L5" t="s">
        <v>401</v>
      </c>
      <c r="M5">
        <v>0</v>
      </c>
      <c r="N5">
        <v>10999.85</v>
      </c>
    </row>
    <row r="6" spans="1:20" x14ac:dyDescent="0.3">
      <c r="A6">
        <v>1005</v>
      </c>
      <c r="B6" s="5">
        <v>45659</v>
      </c>
      <c r="C6" t="s">
        <v>485</v>
      </c>
      <c r="D6" t="s">
        <v>166</v>
      </c>
      <c r="E6" t="s">
        <v>132</v>
      </c>
      <c r="F6" t="s">
        <v>389</v>
      </c>
      <c r="G6" t="s">
        <v>488</v>
      </c>
      <c r="H6" t="s">
        <v>112</v>
      </c>
      <c r="I6">
        <v>5</v>
      </c>
      <c r="J6">
        <v>41396</v>
      </c>
      <c r="K6">
        <v>206980</v>
      </c>
      <c r="L6" t="s">
        <v>396</v>
      </c>
      <c r="M6">
        <v>0</v>
      </c>
      <c r="N6">
        <v>34168.81</v>
      </c>
    </row>
    <row r="7" spans="1:20" x14ac:dyDescent="0.3">
      <c r="A7">
        <v>1006</v>
      </c>
      <c r="B7" s="5">
        <v>45660</v>
      </c>
      <c r="C7" t="s">
        <v>489</v>
      </c>
      <c r="D7" t="s">
        <v>483</v>
      </c>
      <c r="E7" t="s">
        <v>130</v>
      </c>
      <c r="F7" t="s">
        <v>389</v>
      </c>
      <c r="G7" t="s">
        <v>492</v>
      </c>
      <c r="H7" t="s">
        <v>486</v>
      </c>
      <c r="I7">
        <v>5</v>
      </c>
      <c r="J7">
        <v>31592</v>
      </c>
      <c r="K7">
        <v>157960</v>
      </c>
      <c r="L7" t="s">
        <v>401</v>
      </c>
      <c r="M7">
        <v>0</v>
      </c>
      <c r="N7">
        <v>21390.53</v>
      </c>
    </row>
    <row r="8" spans="1:20" x14ac:dyDescent="0.3">
      <c r="A8">
        <v>1007</v>
      </c>
      <c r="B8" s="5">
        <v>45660</v>
      </c>
      <c r="C8" t="s">
        <v>482</v>
      </c>
      <c r="D8" t="s">
        <v>179</v>
      </c>
      <c r="E8" t="s">
        <v>132</v>
      </c>
      <c r="F8" t="s">
        <v>379</v>
      </c>
      <c r="G8" t="s">
        <v>484</v>
      </c>
      <c r="H8" t="s">
        <v>114</v>
      </c>
      <c r="I8">
        <v>3</v>
      </c>
      <c r="J8">
        <v>37915</v>
      </c>
      <c r="K8">
        <v>113745</v>
      </c>
      <c r="L8" t="s">
        <v>396</v>
      </c>
      <c r="M8">
        <v>0</v>
      </c>
      <c r="N8">
        <v>30022.959999999999</v>
      </c>
    </row>
    <row r="9" spans="1:20" x14ac:dyDescent="0.3">
      <c r="A9">
        <v>1008</v>
      </c>
      <c r="B9" s="5">
        <v>45661</v>
      </c>
      <c r="C9" t="s">
        <v>493</v>
      </c>
      <c r="D9" t="s">
        <v>166</v>
      </c>
      <c r="E9" t="s">
        <v>132</v>
      </c>
      <c r="F9" t="s">
        <v>379</v>
      </c>
      <c r="G9" t="s">
        <v>484</v>
      </c>
      <c r="H9" t="s">
        <v>114</v>
      </c>
      <c r="I9">
        <v>1</v>
      </c>
      <c r="J9">
        <v>38859</v>
      </c>
      <c r="K9">
        <v>36916.050000000003</v>
      </c>
      <c r="L9" t="s">
        <v>387</v>
      </c>
      <c r="M9">
        <v>5</v>
      </c>
      <c r="N9">
        <v>6036.85</v>
      </c>
    </row>
    <row r="10" spans="1:20" x14ac:dyDescent="0.3">
      <c r="A10">
        <v>1009</v>
      </c>
      <c r="B10" s="5">
        <v>45661</v>
      </c>
      <c r="C10" t="s">
        <v>487</v>
      </c>
      <c r="D10" t="s">
        <v>166</v>
      </c>
      <c r="E10" t="s">
        <v>132</v>
      </c>
      <c r="F10" t="s">
        <v>490</v>
      </c>
      <c r="G10" t="s">
        <v>494</v>
      </c>
      <c r="H10" t="s">
        <v>115</v>
      </c>
      <c r="I10">
        <v>3</v>
      </c>
      <c r="J10">
        <v>26304</v>
      </c>
      <c r="K10">
        <v>71020.800000000003</v>
      </c>
      <c r="L10" t="s">
        <v>387</v>
      </c>
      <c r="M10">
        <v>10</v>
      </c>
      <c r="N10">
        <v>8473.11</v>
      </c>
    </row>
    <row r="11" spans="1:20" x14ac:dyDescent="0.3">
      <c r="A11">
        <v>1010</v>
      </c>
      <c r="B11" s="5">
        <v>45661</v>
      </c>
      <c r="C11" t="s">
        <v>485</v>
      </c>
      <c r="D11" t="s">
        <v>166</v>
      </c>
      <c r="E11" t="s">
        <v>132</v>
      </c>
      <c r="F11" t="s">
        <v>490</v>
      </c>
      <c r="G11" t="s">
        <v>495</v>
      </c>
      <c r="H11" t="s">
        <v>114</v>
      </c>
      <c r="I11">
        <v>5</v>
      </c>
      <c r="J11">
        <v>15994</v>
      </c>
      <c r="K11">
        <v>67974.5</v>
      </c>
      <c r="L11" t="s">
        <v>401</v>
      </c>
      <c r="M11">
        <v>15</v>
      </c>
      <c r="N11">
        <v>12850.43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EA69-1586-4C97-ABB1-35763CA1E969}">
  <sheetPr>
    <tabColor rgb="FFEAD1DC"/>
  </sheetPr>
  <dimension ref="A1:X5"/>
  <sheetViews>
    <sheetView showGridLines="0" zoomScale="73" workbookViewId="0">
      <selection activeCell="X5" sqref="X5"/>
    </sheetView>
  </sheetViews>
  <sheetFormatPr defaultRowHeight="14.4" x14ac:dyDescent="0.3"/>
  <cols>
    <col min="1" max="1" width="35.5546875" bestFit="1" customWidth="1"/>
    <col min="10" max="10" width="35.21875" bestFit="1" customWidth="1"/>
    <col min="20" max="20" width="10.5546875" customWidth="1"/>
    <col min="21" max="21" width="13.77734375" customWidth="1"/>
    <col min="22" max="22" width="10.5546875" customWidth="1"/>
    <col min="23" max="23" width="15.33203125" customWidth="1"/>
    <col min="24" max="24" width="13.109375" customWidth="1"/>
  </cols>
  <sheetData>
    <row r="1" spans="1:24" ht="18.600000000000001" thickBot="1" x14ac:dyDescent="0.4">
      <c r="A1" s="115" t="s">
        <v>518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T1" s="119" t="s">
        <v>238</v>
      </c>
      <c r="U1" s="119" t="s">
        <v>240</v>
      </c>
      <c r="V1" s="119"/>
      <c r="W1" s="119" t="s">
        <v>371</v>
      </c>
      <c r="X1" s="119" t="s">
        <v>516</v>
      </c>
    </row>
    <row r="2" spans="1:24" ht="15" thickTop="1" x14ac:dyDescent="0.3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T2" t="s">
        <v>94</v>
      </c>
      <c r="U2" s="118" t="s">
        <v>95</v>
      </c>
      <c r="V2" t="s">
        <v>521</v>
      </c>
      <c r="W2" t="s">
        <v>522</v>
      </c>
      <c r="X2" s="118" t="s">
        <v>523</v>
      </c>
    </row>
    <row r="3" spans="1:24" x14ac:dyDescent="0.3">
      <c r="T3" t="s">
        <v>129</v>
      </c>
      <c r="U3" s="118">
        <v>66424</v>
      </c>
      <c r="W3" t="s">
        <v>490</v>
      </c>
      <c r="X3" s="118">
        <v>32323.39</v>
      </c>
    </row>
    <row r="4" spans="1:24" x14ac:dyDescent="0.3">
      <c r="A4" s="117" t="s">
        <v>519</v>
      </c>
      <c r="B4" s="117"/>
      <c r="C4" s="117"/>
      <c r="D4" s="117"/>
      <c r="E4" s="117"/>
      <c r="F4" s="117"/>
      <c r="G4" s="117"/>
      <c r="H4" s="117"/>
      <c r="I4" s="117"/>
      <c r="J4" s="117" t="s">
        <v>520</v>
      </c>
      <c r="K4" s="117"/>
      <c r="L4" s="117"/>
      <c r="M4" s="117"/>
      <c r="N4" s="117"/>
      <c r="O4" s="117"/>
      <c r="P4" s="117"/>
      <c r="Q4" s="117"/>
      <c r="R4" s="117"/>
      <c r="T4" t="s">
        <v>130</v>
      </c>
      <c r="U4" s="118">
        <v>321520.3</v>
      </c>
      <c r="W4" t="s">
        <v>379</v>
      </c>
      <c r="X4" s="118">
        <v>72447.58</v>
      </c>
    </row>
    <row r="5" spans="1:24" x14ac:dyDescent="0.3">
      <c r="T5" t="s">
        <v>132</v>
      </c>
      <c r="U5" s="118">
        <v>496636.35</v>
      </c>
      <c r="W5" t="s">
        <v>389</v>
      </c>
      <c r="X5" s="118">
        <v>59154.58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7733-0EFF-4C15-BD28-889A2F6C0D59}">
  <sheetPr>
    <tabColor rgb="FFF4CCCC"/>
  </sheetPr>
  <dimension ref="A1:O502"/>
  <sheetViews>
    <sheetView tabSelected="1" workbookViewId="0">
      <selection activeCell="L4" sqref="L4"/>
    </sheetView>
  </sheetViews>
  <sheetFormatPr defaultRowHeight="14.4" x14ac:dyDescent="0.3"/>
  <cols>
    <col min="2" max="2" width="10.33203125" bestFit="1" customWidth="1"/>
    <col min="6" max="6" width="11.44140625" customWidth="1"/>
    <col min="7" max="7" width="10.6640625" customWidth="1"/>
    <col min="15" max="15" width="61.44140625" customWidth="1"/>
    <col min="16" max="16" width="73" customWidth="1"/>
    <col min="17" max="17" width="72.21875" customWidth="1"/>
    <col min="18" max="18" width="70.21875" customWidth="1"/>
    <col min="20" max="20" width="41.33203125" customWidth="1"/>
  </cols>
  <sheetData>
    <row r="1" spans="1:15" x14ac:dyDescent="0.3">
      <c r="A1" t="s">
        <v>559</v>
      </c>
      <c r="B1" t="s">
        <v>36</v>
      </c>
      <c r="C1" s="144" t="s">
        <v>560</v>
      </c>
      <c r="D1" t="s">
        <v>98</v>
      </c>
      <c r="E1" t="s">
        <v>561</v>
      </c>
      <c r="F1" t="s">
        <v>562</v>
      </c>
      <c r="G1" t="s">
        <v>563</v>
      </c>
      <c r="H1" t="s">
        <v>564</v>
      </c>
      <c r="I1" s="45" t="s">
        <v>565</v>
      </c>
      <c r="J1" s="45"/>
      <c r="K1" s="142" t="s">
        <v>469</v>
      </c>
      <c r="L1" s="142"/>
    </row>
    <row r="2" spans="1:15" x14ac:dyDescent="0.3">
      <c r="A2">
        <v>1001</v>
      </c>
      <c r="B2" s="5">
        <v>46291</v>
      </c>
      <c r="C2" t="s">
        <v>454</v>
      </c>
      <c r="D2" t="s">
        <v>129</v>
      </c>
      <c r="E2" t="s">
        <v>455</v>
      </c>
      <c r="F2">
        <v>15</v>
      </c>
      <c r="G2">
        <v>1200</v>
      </c>
      <c r="H2">
        <v>18000</v>
      </c>
      <c r="I2" t="s">
        <v>456</v>
      </c>
      <c r="J2" t="str">
        <f>IF(I2="Pending","Call","")</f>
        <v/>
      </c>
      <c r="K2" t="str">
        <f>IF(H2&gt;5000,"High","Standard")</f>
        <v>High</v>
      </c>
    </row>
    <row r="3" spans="1:15" x14ac:dyDescent="0.3">
      <c r="A3">
        <v>1002</v>
      </c>
      <c r="B3" s="5">
        <v>46292</v>
      </c>
      <c r="C3" t="s">
        <v>454</v>
      </c>
      <c r="D3" t="s">
        <v>132</v>
      </c>
      <c r="E3" t="s">
        <v>457</v>
      </c>
      <c r="F3">
        <v>17</v>
      </c>
      <c r="G3">
        <v>45</v>
      </c>
      <c r="H3">
        <v>765</v>
      </c>
      <c r="I3" t="s">
        <v>456</v>
      </c>
      <c r="J3" t="str">
        <f t="shared" ref="J3:J67" si="0">IF(I3="Pending","Call","")</f>
        <v/>
      </c>
      <c r="K3" t="str">
        <f t="shared" ref="K3:K67" si="1">IF(H3&gt;5000,"High","Standard")</f>
        <v>Standard</v>
      </c>
      <c r="M3" s="146" t="s">
        <v>468</v>
      </c>
      <c r="N3" s="145" t="s">
        <v>467</v>
      </c>
      <c r="O3" s="145"/>
    </row>
    <row r="4" spans="1:15" x14ac:dyDescent="0.3">
      <c r="A4">
        <v>1003</v>
      </c>
      <c r="B4" s="5">
        <v>46293</v>
      </c>
      <c r="C4" t="s">
        <v>458</v>
      </c>
      <c r="D4" t="s">
        <v>129</v>
      </c>
      <c r="E4" t="s">
        <v>459</v>
      </c>
      <c r="F4">
        <v>47</v>
      </c>
      <c r="G4">
        <v>300</v>
      </c>
      <c r="H4">
        <v>14100</v>
      </c>
      <c r="I4" t="s">
        <v>460</v>
      </c>
      <c r="J4" t="str">
        <f t="shared" si="0"/>
        <v>Call</v>
      </c>
      <c r="K4" t="str">
        <f t="shared" si="1"/>
        <v>High</v>
      </c>
      <c r="M4" s="147"/>
    </row>
    <row r="5" spans="1:15" x14ac:dyDescent="0.3">
      <c r="A5">
        <v>1004</v>
      </c>
      <c r="B5" s="5">
        <v>46294</v>
      </c>
      <c r="C5" t="s">
        <v>454</v>
      </c>
      <c r="D5" t="s">
        <v>131</v>
      </c>
      <c r="E5" t="s">
        <v>461</v>
      </c>
      <c r="F5">
        <v>48</v>
      </c>
      <c r="G5">
        <v>80</v>
      </c>
      <c r="H5">
        <v>3840</v>
      </c>
      <c r="I5" t="s">
        <v>456</v>
      </c>
      <c r="J5" t="str">
        <f t="shared" si="0"/>
        <v/>
      </c>
      <c r="K5" t="str">
        <f t="shared" si="1"/>
        <v>Standard</v>
      </c>
      <c r="M5" s="147" t="s">
        <v>566</v>
      </c>
      <c r="N5" s="143" t="s">
        <v>567</v>
      </c>
      <c r="O5" s="143"/>
    </row>
    <row r="6" spans="1:15" x14ac:dyDescent="0.3">
      <c r="A6">
        <v>1005</v>
      </c>
      <c r="B6" s="5">
        <v>46295</v>
      </c>
      <c r="C6" t="s">
        <v>462</v>
      </c>
      <c r="D6" t="s">
        <v>397</v>
      </c>
      <c r="E6" t="s">
        <v>463</v>
      </c>
      <c r="F6">
        <v>21</v>
      </c>
      <c r="G6">
        <v>25</v>
      </c>
      <c r="H6">
        <v>525</v>
      </c>
      <c r="I6" t="s">
        <v>464</v>
      </c>
      <c r="J6" t="str">
        <f t="shared" si="0"/>
        <v/>
      </c>
      <c r="K6" t="str">
        <f t="shared" si="1"/>
        <v>Standard</v>
      </c>
      <c r="M6" s="147"/>
    </row>
    <row r="7" spans="1:15" x14ac:dyDescent="0.3">
      <c r="A7">
        <v>1006</v>
      </c>
      <c r="B7" s="5">
        <v>46296</v>
      </c>
      <c r="C7" t="s">
        <v>465</v>
      </c>
      <c r="D7" t="s">
        <v>397</v>
      </c>
      <c r="E7" t="s">
        <v>455</v>
      </c>
      <c r="F7">
        <v>4</v>
      </c>
      <c r="G7">
        <v>1200</v>
      </c>
      <c r="H7">
        <v>4800</v>
      </c>
      <c r="I7" t="s">
        <v>460</v>
      </c>
      <c r="J7" t="str">
        <f t="shared" si="0"/>
        <v>Call</v>
      </c>
      <c r="K7" t="str">
        <f t="shared" si="1"/>
        <v>Standard</v>
      </c>
      <c r="M7" s="147" t="s">
        <v>568</v>
      </c>
      <c r="N7" t="s">
        <v>569</v>
      </c>
    </row>
    <row r="8" spans="1:15" x14ac:dyDescent="0.3">
      <c r="A8">
        <v>1007</v>
      </c>
      <c r="B8" s="5">
        <v>46297</v>
      </c>
      <c r="C8" t="s">
        <v>462</v>
      </c>
      <c r="D8" t="s">
        <v>132</v>
      </c>
      <c r="E8" t="s">
        <v>457</v>
      </c>
      <c r="F8">
        <v>14</v>
      </c>
      <c r="G8">
        <v>45</v>
      </c>
      <c r="H8">
        <v>630</v>
      </c>
      <c r="I8" t="s">
        <v>460</v>
      </c>
      <c r="J8" t="str">
        <f t="shared" si="0"/>
        <v>Call</v>
      </c>
      <c r="K8" t="str">
        <f t="shared" si="1"/>
        <v>Standard</v>
      </c>
      <c r="M8" s="147"/>
    </row>
    <row r="9" spans="1:15" x14ac:dyDescent="0.3">
      <c r="A9">
        <v>1008</v>
      </c>
      <c r="B9" s="5">
        <v>46298</v>
      </c>
      <c r="C9" t="s">
        <v>465</v>
      </c>
      <c r="D9" t="s">
        <v>397</v>
      </c>
      <c r="E9" t="s">
        <v>459</v>
      </c>
      <c r="F9">
        <v>13</v>
      </c>
      <c r="G9">
        <v>300</v>
      </c>
      <c r="H9">
        <v>3900</v>
      </c>
      <c r="I9" t="s">
        <v>456</v>
      </c>
      <c r="J9" t="str">
        <f t="shared" si="0"/>
        <v/>
      </c>
      <c r="K9" t="str">
        <f t="shared" si="1"/>
        <v>Standard</v>
      </c>
      <c r="M9" s="147"/>
      <c r="N9" s="15">
        <f>SUMIF(D1:D502,"north",H1:H502)</f>
        <v>884500</v>
      </c>
    </row>
    <row r="10" spans="1:15" x14ac:dyDescent="0.3">
      <c r="A10">
        <v>1009</v>
      </c>
      <c r="B10" s="5">
        <v>46299</v>
      </c>
      <c r="C10" t="s">
        <v>465</v>
      </c>
      <c r="D10" t="s">
        <v>132</v>
      </c>
      <c r="E10" t="s">
        <v>463</v>
      </c>
      <c r="F10">
        <v>47</v>
      </c>
      <c r="G10">
        <v>25</v>
      </c>
      <c r="H10">
        <v>1175</v>
      </c>
      <c r="I10" t="s">
        <v>456</v>
      </c>
      <c r="J10" t="str">
        <f t="shared" si="0"/>
        <v/>
      </c>
      <c r="K10" t="str">
        <f t="shared" si="1"/>
        <v>Standard</v>
      </c>
      <c r="M10" s="147"/>
    </row>
    <row r="11" spans="1:15" x14ac:dyDescent="0.3">
      <c r="A11">
        <v>1010</v>
      </c>
      <c r="B11" s="5">
        <v>46300</v>
      </c>
      <c r="C11" t="s">
        <v>465</v>
      </c>
      <c r="D11" t="s">
        <v>130</v>
      </c>
      <c r="E11" t="s">
        <v>455</v>
      </c>
      <c r="F11">
        <v>30</v>
      </c>
      <c r="G11">
        <v>1200</v>
      </c>
      <c r="H11">
        <v>36000</v>
      </c>
      <c r="I11" t="s">
        <v>460</v>
      </c>
      <c r="J11" t="str">
        <f t="shared" si="0"/>
        <v>Call</v>
      </c>
      <c r="K11" t="str">
        <f t="shared" si="1"/>
        <v>High</v>
      </c>
      <c r="M11" s="147" t="s">
        <v>570</v>
      </c>
      <c r="N11" t="s">
        <v>571</v>
      </c>
    </row>
    <row r="12" spans="1:15" x14ac:dyDescent="0.3">
      <c r="A12">
        <v>1011</v>
      </c>
      <c r="B12" s="5">
        <v>46301</v>
      </c>
      <c r="C12" t="s">
        <v>462</v>
      </c>
      <c r="D12" t="s">
        <v>131</v>
      </c>
      <c r="E12" t="s">
        <v>457</v>
      </c>
      <c r="F12">
        <v>5</v>
      </c>
      <c r="G12">
        <v>45</v>
      </c>
      <c r="H12">
        <v>225</v>
      </c>
      <c r="I12" t="s">
        <v>456</v>
      </c>
      <c r="J12" t="str">
        <f t="shared" si="0"/>
        <v/>
      </c>
      <c r="K12" t="str">
        <f t="shared" si="1"/>
        <v>Standard</v>
      </c>
      <c r="M12" s="147"/>
    </row>
    <row r="13" spans="1:15" x14ac:dyDescent="0.3">
      <c r="B13" s="5"/>
      <c r="M13" s="147"/>
      <c r="O13" s="15">
        <f>SUMIF(E:E,"laptop",F:F)</f>
        <v>2437</v>
      </c>
    </row>
    <row r="14" spans="1:15" x14ac:dyDescent="0.3">
      <c r="A14">
        <v>1012</v>
      </c>
      <c r="B14" s="5">
        <v>46302</v>
      </c>
      <c r="C14" t="s">
        <v>462</v>
      </c>
      <c r="D14" t="s">
        <v>130</v>
      </c>
      <c r="E14" t="s">
        <v>455</v>
      </c>
      <c r="F14">
        <v>5</v>
      </c>
      <c r="G14">
        <v>1200</v>
      </c>
      <c r="H14">
        <v>6000</v>
      </c>
      <c r="I14" t="s">
        <v>464</v>
      </c>
      <c r="J14" t="str">
        <f t="shared" si="0"/>
        <v/>
      </c>
      <c r="K14" t="str">
        <f t="shared" si="1"/>
        <v>High</v>
      </c>
      <c r="M14" s="147"/>
    </row>
    <row r="15" spans="1:15" x14ac:dyDescent="0.3">
      <c r="A15">
        <v>1013</v>
      </c>
      <c r="B15" s="5">
        <v>46303</v>
      </c>
      <c r="C15" t="s">
        <v>466</v>
      </c>
      <c r="D15" t="s">
        <v>130</v>
      </c>
      <c r="E15" t="s">
        <v>463</v>
      </c>
      <c r="F15">
        <v>43</v>
      </c>
      <c r="G15">
        <v>25</v>
      </c>
      <c r="H15">
        <v>1075</v>
      </c>
      <c r="I15" t="s">
        <v>464</v>
      </c>
      <c r="J15" t="str">
        <f t="shared" si="0"/>
        <v/>
      </c>
      <c r="K15" t="str">
        <f t="shared" si="1"/>
        <v>Standard</v>
      </c>
      <c r="M15" s="147" t="s">
        <v>572</v>
      </c>
      <c r="N15" t="s">
        <v>573</v>
      </c>
    </row>
    <row r="16" spans="1:15" x14ac:dyDescent="0.3">
      <c r="A16">
        <v>1014</v>
      </c>
      <c r="B16" s="5">
        <v>46304</v>
      </c>
      <c r="C16" t="s">
        <v>454</v>
      </c>
      <c r="D16" t="s">
        <v>397</v>
      </c>
      <c r="E16" t="s">
        <v>457</v>
      </c>
      <c r="F16">
        <v>23</v>
      </c>
      <c r="G16">
        <v>45</v>
      </c>
      <c r="H16">
        <v>1035</v>
      </c>
      <c r="I16" t="s">
        <v>456</v>
      </c>
      <c r="J16" t="str">
        <f t="shared" si="0"/>
        <v/>
      </c>
      <c r="K16" t="str">
        <f t="shared" si="1"/>
        <v>Standard</v>
      </c>
      <c r="M16" s="147"/>
      <c r="O16" s="15">
        <f>SUMIFS(H1:H502,C1:C502,"sarah",E1:E502,"monitor")</f>
        <v>193200</v>
      </c>
    </row>
    <row r="17" spans="1:15" x14ac:dyDescent="0.3">
      <c r="A17">
        <v>1015</v>
      </c>
      <c r="B17" s="5">
        <v>46305</v>
      </c>
      <c r="C17" t="s">
        <v>465</v>
      </c>
      <c r="D17" t="s">
        <v>130</v>
      </c>
      <c r="E17" t="s">
        <v>459</v>
      </c>
      <c r="F17">
        <v>9</v>
      </c>
      <c r="G17">
        <v>300</v>
      </c>
      <c r="H17">
        <v>2700</v>
      </c>
      <c r="I17" t="s">
        <v>456</v>
      </c>
      <c r="J17" t="str">
        <f t="shared" si="0"/>
        <v/>
      </c>
      <c r="K17" t="str">
        <f t="shared" si="1"/>
        <v>Standard</v>
      </c>
      <c r="M17" s="147"/>
    </row>
    <row r="18" spans="1:15" x14ac:dyDescent="0.3">
      <c r="A18">
        <v>1016</v>
      </c>
      <c r="B18" s="5">
        <v>46306</v>
      </c>
      <c r="C18" t="s">
        <v>458</v>
      </c>
      <c r="D18" t="s">
        <v>132</v>
      </c>
      <c r="E18" t="s">
        <v>457</v>
      </c>
      <c r="F18">
        <v>27</v>
      </c>
      <c r="G18">
        <v>45</v>
      </c>
      <c r="H18">
        <v>1215</v>
      </c>
      <c r="I18" t="s">
        <v>456</v>
      </c>
      <c r="J18" t="str">
        <f t="shared" si="0"/>
        <v/>
      </c>
      <c r="K18" t="str">
        <f t="shared" si="1"/>
        <v>Standard</v>
      </c>
      <c r="M18" s="147" t="s">
        <v>574</v>
      </c>
      <c r="N18" t="s">
        <v>575</v>
      </c>
    </row>
    <row r="19" spans="1:15" x14ac:dyDescent="0.3">
      <c r="A19">
        <v>1017</v>
      </c>
      <c r="B19" s="5">
        <v>46307</v>
      </c>
      <c r="C19" t="s">
        <v>458</v>
      </c>
      <c r="D19" t="s">
        <v>132</v>
      </c>
      <c r="E19" t="s">
        <v>455</v>
      </c>
      <c r="F19">
        <v>26</v>
      </c>
      <c r="G19">
        <v>1200</v>
      </c>
      <c r="H19">
        <v>31200</v>
      </c>
      <c r="I19" t="s">
        <v>456</v>
      </c>
      <c r="J19" t="str">
        <f t="shared" si="0"/>
        <v/>
      </c>
      <c r="K19" t="str">
        <f t="shared" si="1"/>
        <v>High</v>
      </c>
      <c r="M19" s="147"/>
      <c r="O19" s="15">
        <f>SUMIFS(H1:H502,I1:I502,"paid",D1:D502,"west")</f>
        <v>562720</v>
      </c>
    </row>
    <row r="20" spans="1:15" x14ac:dyDescent="0.3">
      <c r="A20">
        <v>1018</v>
      </c>
      <c r="B20" s="5">
        <v>46308</v>
      </c>
      <c r="C20" t="s">
        <v>465</v>
      </c>
      <c r="D20" t="s">
        <v>131</v>
      </c>
      <c r="E20" t="s">
        <v>461</v>
      </c>
      <c r="F20">
        <v>28</v>
      </c>
      <c r="G20">
        <v>80</v>
      </c>
      <c r="H20">
        <v>2240</v>
      </c>
      <c r="I20" t="s">
        <v>456</v>
      </c>
      <c r="J20" t="str">
        <f t="shared" si="0"/>
        <v/>
      </c>
      <c r="K20" t="str">
        <f t="shared" si="1"/>
        <v>Standard</v>
      </c>
      <c r="M20" s="147"/>
    </row>
    <row r="21" spans="1:15" x14ac:dyDescent="0.3">
      <c r="A21">
        <v>1019</v>
      </c>
      <c r="B21" s="5">
        <v>46309</v>
      </c>
      <c r="C21" t="s">
        <v>458</v>
      </c>
      <c r="D21" t="s">
        <v>131</v>
      </c>
      <c r="E21" t="s">
        <v>459</v>
      </c>
      <c r="F21">
        <v>50</v>
      </c>
      <c r="G21">
        <v>300</v>
      </c>
      <c r="H21">
        <v>15000</v>
      </c>
      <c r="I21" t="s">
        <v>456</v>
      </c>
      <c r="J21" t="str">
        <f t="shared" si="0"/>
        <v/>
      </c>
      <c r="K21" t="str">
        <f t="shared" si="1"/>
        <v>High</v>
      </c>
      <c r="M21" s="147" t="s">
        <v>576</v>
      </c>
      <c r="N21" t="s">
        <v>577</v>
      </c>
    </row>
    <row r="22" spans="1:15" x14ac:dyDescent="0.3">
      <c r="A22">
        <v>1020</v>
      </c>
      <c r="B22" s="5">
        <v>46310</v>
      </c>
      <c r="C22" t="s">
        <v>462</v>
      </c>
      <c r="D22" t="s">
        <v>130</v>
      </c>
      <c r="E22" t="s">
        <v>457</v>
      </c>
      <c r="F22">
        <v>26</v>
      </c>
      <c r="G22">
        <v>45</v>
      </c>
      <c r="H22">
        <v>1170</v>
      </c>
      <c r="I22" t="s">
        <v>456</v>
      </c>
      <c r="J22" t="str">
        <f t="shared" si="0"/>
        <v/>
      </c>
      <c r="K22" t="str">
        <f t="shared" si="1"/>
        <v>Standard</v>
      </c>
      <c r="M22" s="147"/>
      <c r="O22" s="15">
        <f>COUNTIFS(D1:D502,"east",F1:F502,"&gt;20")</f>
        <v>52</v>
      </c>
    </row>
    <row r="23" spans="1:15" x14ac:dyDescent="0.3">
      <c r="A23">
        <v>1021</v>
      </c>
      <c r="B23" s="5">
        <v>46311</v>
      </c>
      <c r="C23" t="s">
        <v>466</v>
      </c>
      <c r="D23" t="s">
        <v>131</v>
      </c>
      <c r="E23" t="s">
        <v>463</v>
      </c>
      <c r="F23">
        <v>35</v>
      </c>
      <c r="G23">
        <v>25</v>
      </c>
      <c r="H23">
        <v>875</v>
      </c>
      <c r="I23" t="s">
        <v>456</v>
      </c>
      <c r="J23" t="str">
        <f t="shared" si="0"/>
        <v/>
      </c>
      <c r="K23" t="str">
        <f t="shared" si="1"/>
        <v>Standard</v>
      </c>
      <c r="M23" s="147"/>
    </row>
    <row r="24" spans="1:15" x14ac:dyDescent="0.3">
      <c r="A24">
        <v>1022</v>
      </c>
      <c r="B24" s="5">
        <v>46312</v>
      </c>
      <c r="C24" t="s">
        <v>465</v>
      </c>
      <c r="D24" t="s">
        <v>397</v>
      </c>
      <c r="E24" t="s">
        <v>455</v>
      </c>
      <c r="F24">
        <v>3</v>
      </c>
      <c r="G24">
        <v>1200</v>
      </c>
      <c r="H24">
        <v>3600</v>
      </c>
      <c r="I24" t="s">
        <v>456</v>
      </c>
      <c r="J24" t="str">
        <f t="shared" si="0"/>
        <v/>
      </c>
      <c r="K24" t="str">
        <f t="shared" si="1"/>
        <v>Standard</v>
      </c>
      <c r="M24" s="147" t="s">
        <v>578</v>
      </c>
      <c r="N24" t="s">
        <v>579</v>
      </c>
    </row>
    <row r="25" spans="1:15" x14ac:dyDescent="0.3">
      <c r="A25">
        <v>1023</v>
      </c>
      <c r="B25" s="5">
        <v>46313</v>
      </c>
      <c r="C25" t="s">
        <v>462</v>
      </c>
      <c r="D25" t="s">
        <v>129</v>
      </c>
      <c r="E25" t="s">
        <v>457</v>
      </c>
      <c r="F25">
        <v>18</v>
      </c>
      <c r="G25">
        <v>45</v>
      </c>
      <c r="H25">
        <v>810</v>
      </c>
      <c r="I25" t="s">
        <v>456</v>
      </c>
      <c r="J25" t="str">
        <f t="shared" si="0"/>
        <v/>
      </c>
      <c r="K25" t="str">
        <f t="shared" si="1"/>
        <v>Standard</v>
      </c>
      <c r="M25" s="147"/>
    </row>
    <row r="26" spans="1:15" x14ac:dyDescent="0.3">
      <c r="A26">
        <v>1024</v>
      </c>
      <c r="B26" s="5">
        <v>46314</v>
      </c>
      <c r="C26" t="s">
        <v>466</v>
      </c>
      <c r="D26" t="s">
        <v>132</v>
      </c>
      <c r="E26" t="s">
        <v>463</v>
      </c>
      <c r="F26">
        <v>16</v>
      </c>
      <c r="G26">
        <v>25</v>
      </c>
      <c r="H26">
        <v>400</v>
      </c>
      <c r="I26" t="s">
        <v>456</v>
      </c>
      <c r="J26" t="str">
        <f t="shared" si="0"/>
        <v/>
      </c>
      <c r="K26" t="str">
        <f t="shared" si="1"/>
        <v>Standard</v>
      </c>
      <c r="M26" s="147"/>
      <c r="O26" s="15">
        <f>COUNTIFS(I1:I502,"cancelled",C1:C502,"chole")</f>
        <v>0</v>
      </c>
    </row>
    <row r="27" spans="1:15" x14ac:dyDescent="0.3">
      <c r="A27">
        <v>1025</v>
      </c>
      <c r="B27" s="5">
        <v>46315</v>
      </c>
      <c r="C27" t="s">
        <v>454</v>
      </c>
      <c r="D27" t="s">
        <v>129</v>
      </c>
      <c r="E27" t="s">
        <v>461</v>
      </c>
      <c r="F27">
        <v>14</v>
      </c>
      <c r="G27">
        <v>80</v>
      </c>
      <c r="H27">
        <v>1120</v>
      </c>
      <c r="I27" t="s">
        <v>456</v>
      </c>
      <c r="J27" t="str">
        <f t="shared" si="0"/>
        <v/>
      </c>
      <c r="K27" t="str">
        <f t="shared" si="1"/>
        <v>Standard</v>
      </c>
      <c r="M27" s="147" t="s">
        <v>580</v>
      </c>
      <c r="N27" t="s">
        <v>581</v>
      </c>
    </row>
    <row r="28" spans="1:15" x14ac:dyDescent="0.3">
      <c r="A28">
        <v>1026</v>
      </c>
      <c r="B28" s="5">
        <v>46316</v>
      </c>
      <c r="C28" t="s">
        <v>462</v>
      </c>
      <c r="D28" t="s">
        <v>397</v>
      </c>
      <c r="E28" t="s">
        <v>457</v>
      </c>
      <c r="F28">
        <v>44</v>
      </c>
      <c r="G28">
        <v>45</v>
      </c>
      <c r="H28">
        <v>1980</v>
      </c>
      <c r="I28" t="s">
        <v>456</v>
      </c>
      <c r="J28" t="str">
        <f t="shared" si="0"/>
        <v/>
      </c>
      <c r="K28" t="str">
        <f t="shared" si="1"/>
        <v>Standard</v>
      </c>
    </row>
    <row r="29" spans="1:15" x14ac:dyDescent="0.3">
      <c r="A29">
        <v>1027</v>
      </c>
      <c r="B29" s="5">
        <v>46317</v>
      </c>
      <c r="C29" t="s">
        <v>458</v>
      </c>
      <c r="D29" t="s">
        <v>129</v>
      </c>
      <c r="E29" t="s">
        <v>455</v>
      </c>
      <c r="F29">
        <v>25</v>
      </c>
      <c r="G29">
        <v>1200</v>
      </c>
      <c r="H29">
        <v>30000</v>
      </c>
      <c r="I29" t="s">
        <v>464</v>
      </c>
      <c r="J29" t="str">
        <f t="shared" si="0"/>
        <v/>
      </c>
      <c r="K29" t="str">
        <f t="shared" si="1"/>
        <v>High</v>
      </c>
    </row>
    <row r="30" spans="1:15" x14ac:dyDescent="0.3">
      <c r="A30">
        <v>1028</v>
      </c>
      <c r="B30" s="5">
        <v>46318</v>
      </c>
      <c r="C30" t="s">
        <v>465</v>
      </c>
      <c r="D30" t="s">
        <v>130</v>
      </c>
      <c r="E30" t="s">
        <v>457</v>
      </c>
      <c r="F30">
        <v>13</v>
      </c>
      <c r="G30">
        <v>45</v>
      </c>
      <c r="H30">
        <v>585</v>
      </c>
      <c r="I30" t="s">
        <v>460</v>
      </c>
      <c r="J30" t="str">
        <f t="shared" si="0"/>
        <v>Call</v>
      </c>
      <c r="K30" t="str">
        <f t="shared" si="1"/>
        <v>Standard</v>
      </c>
    </row>
    <row r="31" spans="1:15" x14ac:dyDescent="0.3">
      <c r="A31">
        <v>1029</v>
      </c>
      <c r="B31" s="5">
        <v>46319</v>
      </c>
      <c r="C31" t="s">
        <v>454</v>
      </c>
      <c r="D31" t="s">
        <v>131</v>
      </c>
      <c r="E31" t="s">
        <v>459</v>
      </c>
      <c r="F31">
        <v>7</v>
      </c>
      <c r="G31">
        <v>300</v>
      </c>
      <c r="H31">
        <v>2100</v>
      </c>
      <c r="I31" t="s">
        <v>456</v>
      </c>
      <c r="J31" t="str">
        <f t="shared" si="0"/>
        <v/>
      </c>
      <c r="K31" t="str">
        <f t="shared" si="1"/>
        <v>Standard</v>
      </c>
    </row>
    <row r="32" spans="1:15" x14ac:dyDescent="0.3">
      <c r="A32">
        <v>1030</v>
      </c>
      <c r="B32" s="5">
        <v>46320</v>
      </c>
      <c r="C32" t="s">
        <v>462</v>
      </c>
      <c r="D32" t="s">
        <v>129</v>
      </c>
      <c r="E32" t="s">
        <v>461</v>
      </c>
      <c r="F32">
        <v>14</v>
      </c>
      <c r="G32">
        <v>80</v>
      </c>
      <c r="H32">
        <v>1120</v>
      </c>
      <c r="I32" t="s">
        <v>456</v>
      </c>
      <c r="J32" t="str">
        <f t="shared" si="0"/>
        <v/>
      </c>
      <c r="K32" t="str">
        <f t="shared" si="1"/>
        <v>Standard</v>
      </c>
    </row>
    <row r="33" spans="1:11" x14ac:dyDescent="0.3">
      <c r="A33">
        <v>1031</v>
      </c>
      <c r="B33" s="5">
        <v>46321</v>
      </c>
      <c r="C33" t="s">
        <v>458</v>
      </c>
      <c r="D33" t="s">
        <v>397</v>
      </c>
      <c r="E33" t="s">
        <v>459</v>
      </c>
      <c r="F33">
        <v>10</v>
      </c>
      <c r="G33">
        <v>300</v>
      </c>
      <c r="H33">
        <v>3000</v>
      </c>
      <c r="I33" t="s">
        <v>456</v>
      </c>
      <c r="J33" t="str">
        <f t="shared" si="0"/>
        <v/>
      </c>
      <c r="K33" t="str">
        <f t="shared" si="1"/>
        <v>Standard</v>
      </c>
    </row>
    <row r="34" spans="1:11" x14ac:dyDescent="0.3">
      <c r="A34">
        <v>1032</v>
      </c>
      <c r="B34" s="5">
        <v>46322</v>
      </c>
      <c r="C34" t="s">
        <v>462</v>
      </c>
      <c r="D34" t="s">
        <v>397</v>
      </c>
      <c r="E34" t="s">
        <v>457</v>
      </c>
      <c r="F34">
        <v>37</v>
      </c>
      <c r="G34">
        <v>45</v>
      </c>
      <c r="H34">
        <v>1665</v>
      </c>
      <c r="I34" t="s">
        <v>460</v>
      </c>
      <c r="J34" t="str">
        <f t="shared" si="0"/>
        <v>Call</v>
      </c>
      <c r="K34" t="str">
        <f t="shared" si="1"/>
        <v>Standard</v>
      </c>
    </row>
    <row r="35" spans="1:11" x14ac:dyDescent="0.3">
      <c r="A35">
        <v>1033</v>
      </c>
      <c r="B35" s="5">
        <v>46323</v>
      </c>
      <c r="C35" t="s">
        <v>466</v>
      </c>
      <c r="D35" t="s">
        <v>130</v>
      </c>
      <c r="E35" t="s">
        <v>461</v>
      </c>
      <c r="F35">
        <v>26</v>
      </c>
      <c r="G35">
        <v>80</v>
      </c>
      <c r="H35">
        <v>2080</v>
      </c>
      <c r="I35" t="s">
        <v>456</v>
      </c>
      <c r="J35" t="str">
        <f t="shared" si="0"/>
        <v/>
      </c>
      <c r="K35" t="str">
        <f t="shared" si="1"/>
        <v>Standard</v>
      </c>
    </row>
    <row r="36" spans="1:11" x14ac:dyDescent="0.3">
      <c r="A36">
        <v>1034</v>
      </c>
      <c r="B36" s="5">
        <v>46324</v>
      </c>
      <c r="C36" t="s">
        <v>458</v>
      </c>
      <c r="D36" t="s">
        <v>397</v>
      </c>
      <c r="E36" t="s">
        <v>461</v>
      </c>
      <c r="F36">
        <v>2</v>
      </c>
      <c r="G36">
        <v>80</v>
      </c>
      <c r="H36">
        <v>160</v>
      </c>
      <c r="I36" t="s">
        <v>456</v>
      </c>
      <c r="J36" t="str">
        <f t="shared" si="0"/>
        <v/>
      </c>
      <c r="K36" t="str">
        <f t="shared" si="1"/>
        <v>Standard</v>
      </c>
    </row>
    <row r="37" spans="1:11" x14ac:dyDescent="0.3">
      <c r="A37">
        <v>1035</v>
      </c>
      <c r="B37" s="5">
        <v>46325</v>
      </c>
      <c r="C37" t="s">
        <v>465</v>
      </c>
      <c r="D37" t="s">
        <v>130</v>
      </c>
      <c r="E37" t="s">
        <v>459</v>
      </c>
      <c r="F37">
        <v>9</v>
      </c>
      <c r="G37">
        <v>300</v>
      </c>
      <c r="H37">
        <v>2700</v>
      </c>
      <c r="I37" t="s">
        <v>456</v>
      </c>
      <c r="J37" t="str">
        <f t="shared" si="0"/>
        <v/>
      </c>
      <c r="K37" t="str">
        <f t="shared" si="1"/>
        <v>Standard</v>
      </c>
    </row>
    <row r="38" spans="1:11" x14ac:dyDescent="0.3">
      <c r="A38">
        <v>1036</v>
      </c>
      <c r="B38" s="5">
        <v>46326</v>
      </c>
      <c r="C38" t="s">
        <v>458</v>
      </c>
      <c r="D38" t="s">
        <v>132</v>
      </c>
      <c r="E38" t="s">
        <v>455</v>
      </c>
      <c r="F38">
        <v>8</v>
      </c>
      <c r="G38">
        <v>1200</v>
      </c>
      <c r="H38">
        <v>9600</v>
      </c>
      <c r="I38" t="s">
        <v>460</v>
      </c>
      <c r="J38" t="str">
        <f t="shared" si="0"/>
        <v>Call</v>
      </c>
      <c r="K38" t="str">
        <f t="shared" si="1"/>
        <v>High</v>
      </c>
    </row>
    <row r="39" spans="1:11" x14ac:dyDescent="0.3">
      <c r="A39">
        <v>1037</v>
      </c>
      <c r="B39" s="5">
        <v>46327</v>
      </c>
      <c r="C39" t="s">
        <v>466</v>
      </c>
      <c r="D39" t="s">
        <v>397</v>
      </c>
      <c r="E39" t="s">
        <v>463</v>
      </c>
      <c r="F39">
        <v>13</v>
      </c>
      <c r="G39">
        <v>25</v>
      </c>
      <c r="H39">
        <v>325</v>
      </c>
      <c r="I39" t="s">
        <v>456</v>
      </c>
      <c r="J39" t="str">
        <f t="shared" si="0"/>
        <v/>
      </c>
      <c r="K39" t="str">
        <f t="shared" si="1"/>
        <v>Standard</v>
      </c>
    </row>
    <row r="40" spans="1:11" x14ac:dyDescent="0.3">
      <c r="A40">
        <v>1038</v>
      </c>
      <c r="B40" s="5">
        <v>46328</v>
      </c>
      <c r="C40" t="s">
        <v>465</v>
      </c>
      <c r="D40" t="s">
        <v>132</v>
      </c>
      <c r="E40" t="s">
        <v>459</v>
      </c>
      <c r="F40">
        <v>13</v>
      </c>
      <c r="G40">
        <v>300</v>
      </c>
      <c r="H40">
        <v>3900</v>
      </c>
      <c r="I40" t="s">
        <v>456</v>
      </c>
      <c r="J40" t="str">
        <f t="shared" si="0"/>
        <v/>
      </c>
      <c r="K40" t="str">
        <f t="shared" si="1"/>
        <v>Standard</v>
      </c>
    </row>
    <row r="41" spans="1:11" x14ac:dyDescent="0.3">
      <c r="A41">
        <v>1039</v>
      </c>
      <c r="B41" s="5">
        <v>46329</v>
      </c>
      <c r="C41" t="s">
        <v>458</v>
      </c>
      <c r="D41" t="s">
        <v>397</v>
      </c>
      <c r="E41" t="s">
        <v>455</v>
      </c>
      <c r="F41">
        <v>4</v>
      </c>
      <c r="G41">
        <v>1200</v>
      </c>
      <c r="H41">
        <v>4800</v>
      </c>
      <c r="I41" t="s">
        <v>460</v>
      </c>
      <c r="J41" t="str">
        <f t="shared" si="0"/>
        <v>Call</v>
      </c>
      <c r="K41" t="str">
        <f t="shared" si="1"/>
        <v>Standard</v>
      </c>
    </row>
    <row r="42" spans="1:11" x14ac:dyDescent="0.3">
      <c r="A42">
        <v>1040</v>
      </c>
      <c r="B42" s="5">
        <v>46330</v>
      </c>
      <c r="C42" t="s">
        <v>454</v>
      </c>
      <c r="D42" t="s">
        <v>131</v>
      </c>
      <c r="E42" t="s">
        <v>459</v>
      </c>
      <c r="F42">
        <v>39</v>
      </c>
      <c r="G42">
        <v>300</v>
      </c>
      <c r="H42">
        <v>11700</v>
      </c>
      <c r="I42" t="s">
        <v>464</v>
      </c>
      <c r="J42" t="str">
        <f t="shared" si="0"/>
        <v/>
      </c>
      <c r="K42" t="str">
        <f t="shared" si="1"/>
        <v>High</v>
      </c>
    </row>
    <row r="43" spans="1:11" x14ac:dyDescent="0.3">
      <c r="A43">
        <v>1041</v>
      </c>
      <c r="B43" s="5">
        <v>46331</v>
      </c>
      <c r="C43" t="s">
        <v>454</v>
      </c>
      <c r="D43" t="s">
        <v>132</v>
      </c>
      <c r="E43" t="s">
        <v>455</v>
      </c>
      <c r="F43">
        <v>42</v>
      </c>
      <c r="G43">
        <v>1200</v>
      </c>
      <c r="H43">
        <v>50400</v>
      </c>
      <c r="I43" t="s">
        <v>460</v>
      </c>
      <c r="J43" t="str">
        <f t="shared" si="0"/>
        <v>Call</v>
      </c>
      <c r="K43" t="str">
        <f t="shared" si="1"/>
        <v>High</v>
      </c>
    </row>
    <row r="44" spans="1:11" x14ac:dyDescent="0.3">
      <c r="A44">
        <v>1042</v>
      </c>
      <c r="B44" s="5">
        <v>46332</v>
      </c>
      <c r="C44" t="s">
        <v>458</v>
      </c>
      <c r="D44" t="s">
        <v>130</v>
      </c>
      <c r="E44" t="s">
        <v>459</v>
      </c>
      <c r="F44">
        <v>17</v>
      </c>
      <c r="G44">
        <v>300</v>
      </c>
      <c r="H44">
        <v>5100</v>
      </c>
      <c r="I44" t="s">
        <v>456</v>
      </c>
      <c r="J44" t="str">
        <f t="shared" si="0"/>
        <v/>
      </c>
      <c r="K44" t="str">
        <f t="shared" si="1"/>
        <v>High</v>
      </c>
    </row>
    <row r="45" spans="1:11" x14ac:dyDescent="0.3">
      <c r="A45">
        <v>1043</v>
      </c>
      <c r="B45" s="5">
        <v>46333</v>
      </c>
      <c r="C45" t="s">
        <v>462</v>
      </c>
      <c r="D45" t="s">
        <v>130</v>
      </c>
      <c r="E45" t="s">
        <v>455</v>
      </c>
      <c r="F45">
        <v>31</v>
      </c>
      <c r="G45">
        <v>1200</v>
      </c>
      <c r="H45">
        <v>37200</v>
      </c>
      <c r="I45" t="s">
        <v>456</v>
      </c>
      <c r="J45" t="str">
        <f t="shared" si="0"/>
        <v/>
      </c>
      <c r="K45" t="str">
        <f t="shared" si="1"/>
        <v>High</v>
      </c>
    </row>
    <row r="46" spans="1:11" x14ac:dyDescent="0.3">
      <c r="A46">
        <v>1044</v>
      </c>
      <c r="B46" s="5">
        <v>46334</v>
      </c>
      <c r="C46" t="s">
        <v>465</v>
      </c>
      <c r="D46" t="s">
        <v>397</v>
      </c>
      <c r="E46" t="s">
        <v>459</v>
      </c>
      <c r="F46">
        <v>23</v>
      </c>
      <c r="G46">
        <v>300</v>
      </c>
      <c r="H46">
        <v>6900</v>
      </c>
      <c r="I46" t="s">
        <v>460</v>
      </c>
      <c r="J46" t="str">
        <f t="shared" si="0"/>
        <v>Call</v>
      </c>
      <c r="K46" t="str">
        <f t="shared" si="1"/>
        <v>High</v>
      </c>
    </row>
    <row r="47" spans="1:11" x14ac:dyDescent="0.3">
      <c r="A47">
        <v>1045</v>
      </c>
      <c r="B47" s="5">
        <v>46335</v>
      </c>
      <c r="C47" t="s">
        <v>454</v>
      </c>
      <c r="D47" t="s">
        <v>132</v>
      </c>
      <c r="E47" t="s">
        <v>459</v>
      </c>
      <c r="F47">
        <v>26</v>
      </c>
      <c r="G47">
        <v>300</v>
      </c>
      <c r="H47">
        <v>7800</v>
      </c>
      <c r="I47" t="s">
        <v>456</v>
      </c>
      <c r="J47" t="str">
        <f t="shared" si="0"/>
        <v/>
      </c>
      <c r="K47" t="str">
        <f t="shared" si="1"/>
        <v>High</v>
      </c>
    </row>
    <row r="48" spans="1:11" x14ac:dyDescent="0.3">
      <c r="A48">
        <v>1046</v>
      </c>
      <c r="B48" s="5">
        <v>46336</v>
      </c>
      <c r="C48" t="s">
        <v>465</v>
      </c>
      <c r="D48" t="s">
        <v>130</v>
      </c>
      <c r="E48" t="s">
        <v>455</v>
      </c>
      <c r="F48">
        <v>20</v>
      </c>
      <c r="G48">
        <v>1200</v>
      </c>
      <c r="H48">
        <v>24000</v>
      </c>
      <c r="I48" t="s">
        <v>456</v>
      </c>
      <c r="J48" t="str">
        <f t="shared" si="0"/>
        <v/>
      </c>
      <c r="K48" t="str">
        <f t="shared" si="1"/>
        <v>High</v>
      </c>
    </row>
    <row r="49" spans="1:11" x14ac:dyDescent="0.3">
      <c r="A49">
        <v>1047</v>
      </c>
      <c r="B49" s="5">
        <v>46337</v>
      </c>
      <c r="C49" t="s">
        <v>462</v>
      </c>
      <c r="D49" t="s">
        <v>397</v>
      </c>
      <c r="E49" t="s">
        <v>457</v>
      </c>
      <c r="F49">
        <v>46</v>
      </c>
      <c r="G49">
        <v>45</v>
      </c>
      <c r="H49">
        <v>2070</v>
      </c>
      <c r="I49" t="s">
        <v>456</v>
      </c>
      <c r="J49" t="str">
        <f t="shared" si="0"/>
        <v/>
      </c>
      <c r="K49" t="str">
        <f t="shared" si="1"/>
        <v>Standard</v>
      </c>
    </row>
    <row r="50" spans="1:11" x14ac:dyDescent="0.3">
      <c r="A50">
        <v>1048</v>
      </c>
      <c r="B50" s="5">
        <v>46338</v>
      </c>
      <c r="C50" t="s">
        <v>465</v>
      </c>
      <c r="D50" t="s">
        <v>132</v>
      </c>
      <c r="E50" t="s">
        <v>457</v>
      </c>
      <c r="F50">
        <v>34</v>
      </c>
      <c r="G50">
        <v>45</v>
      </c>
      <c r="H50">
        <v>1530</v>
      </c>
      <c r="I50" t="s">
        <v>456</v>
      </c>
      <c r="J50" t="str">
        <f t="shared" si="0"/>
        <v/>
      </c>
      <c r="K50" t="str">
        <f t="shared" si="1"/>
        <v>Standard</v>
      </c>
    </row>
    <row r="51" spans="1:11" x14ac:dyDescent="0.3">
      <c r="A51">
        <v>1049</v>
      </c>
      <c r="B51" s="5">
        <v>46339</v>
      </c>
      <c r="C51" t="s">
        <v>458</v>
      </c>
      <c r="D51" t="s">
        <v>129</v>
      </c>
      <c r="E51" t="s">
        <v>463</v>
      </c>
      <c r="F51">
        <v>42</v>
      </c>
      <c r="G51">
        <v>25</v>
      </c>
      <c r="H51">
        <v>1050</v>
      </c>
      <c r="I51" t="s">
        <v>456</v>
      </c>
      <c r="J51" t="str">
        <f t="shared" si="0"/>
        <v/>
      </c>
      <c r="K51" t="str">
        <f t="shared" si="1"/>
        <v>Standard</v>
      </c>
    </row>
    <row r="52" spans="1:11" x14ac:dyDescent="0.3">
      <c r="A52">
        <v>1050</v>
      </c>
      <c r="B52" s="5">
        <v>46340</v>
      </c>
      <c r="C52" t="s">
        <v>465</v>
      </c>
      <c r="D52" t="s">
        <v>131</v>
      </c>
      <c r="E52" t="s">
        <v>461</v>
      </c>
      <c r="F52">
        <v>33</v>
      </c>
      <c r="G52">
        <v>80</v>
      </c>
      <c r="H52">
        <v>2640</v>
      </c>
      <c r="I52" t="s">
        <v>460</v>
      </c>
      <c r="J52" t="str">
        <f t="shared" si="0"/>
        <v>Call</v>
      </c>
      <c r="K52" t="str">
        <f t="shared" si="1"/>
        <v>Standard</v>
      </c>
    </row>
    <row r="53" spans="1:11" x14ac:dyDescent="0.3">
      <c r="A53">
        <v>1051</v>
      </c>
      <c r="B53" s="5">
        <v>46341</v>
      </c>
      <c r="C53" t="s">
        <v>462</v>
      </c>
      <c r="D53" t="s">
        <v>131</v>
      </c>
      <c r="E53" t="s">
        <v>457</v>
      </c>
      <c r="F53">
        <v>47</v>
      </c>
      <c r="G53">
        <v>45</v>
      </c>
      <c r="H53">
        <v>2115</v>
      </c>
      <c r="I53" t="s">
        <v>456</v>
      </c>
      <c r="J53" t="str">
        <f t="shared" si="0"/>
        <v/>
      </c>
      <c r="K53" t="str">
        <f t="shared" si="1"/>
        <v>Standard</v>
      </c>
    </row>
    <row r="54" spans="1:11" x14ac:dyDescent="0.3">
      <c r="A54">
        <v>1052</v>
      </c>
      <c r="B54" s="5">
        <v>46342</v>
      </c>
      <c r="C54" t="s">
        <v>454</v>
      </c>
      <c r="D54" t="s">
        <v>129</v>
      </c>
      <c r="E54" t="s">
        <v>455</v>
      </c>
      <c r="F54">
        <v>21</v>
      </c>
      <c r="G54">
        <v>1200</v>
      </c>
      <c r="H54">
        <v>25200</v>
      </c>
      <c r="I54" t="s">
        <v>456</v>
      </c>
      <c r="J54" t="str">
        <f t="shared" si="0"/>
        <v/>
      </c>
      <c r="K54" t="str">
        <f t="shared" si="1"/>
        <v>High</v>
      </c>
    </row>
    <row r="55" spans="1:11" x14ac:dyDescent="0.3">
      <c r="A55">
        <v>1053</v>
      </c>
      <c r="B55" s="5">
        <v>46343</v>
      </c>
      <c r="C55" t="s">
        <v>458</v>
      </c>
      <c r="D55" t="s">
        <v>130</v>
      </c>
      <c r="E55" t="s">
        <v>455</v>
      </c>
      <c r="F55">
        <v>25</v>
      </c>
      <c r="G55">
        <v>1200</v>
      </c>
      <c r="H55">
        <v>30000</v>
      </c>
      <c r="I55" t="s">
        <v>456</v>
      </c>
      <c r="J55" t="str">
        <f t="shared" si="0"/>
        <v/>
      </c>
      <c r="K55" t="str">
        <f t="shared" si="1"/>
        <v>High</v>
      </c>
    </row>
    <row r="56" spans="1:11" x14ac:dyDescent="0.3">
      <c r="A56">
        <v>1054</v>
      </c>
      <c r="B56" s="5">
        <v>46344</v>
      </c>
      <c r="C56" t="s">
        <v>462</v>
      </c>
      <c r="D56" t="s">
        <v>129</v>
      </c>
      <c r="E56" t="s">
        <v>459</v>
      </c>
      <c r="F56">
        <v>19</v>
      </c>
      <c r="G56">
        <v>300</v>
      </c>
      <c r="H56">
        <v>5700</v>
      </c>
      <c r="I56" t="s">
        <v>456</v>
      </c>
      <c r="J56" t="str">
        <f t="shared" si="0"/>
        <v/>
      </c>
      <c r="K56" t="str">
        <f t="shared" si="1"/>
        <v>High</v>
      </c>
    </row>
    <row r="57" spans="1:11" x14ac:dyDescent="0.3">
      <c r="A57">
        <v>1055</v>
      </c>
      <c r="B57" s="5">
        <v>46345</v>
      </c>
      <c r="C57" t="s">
        <v>465</v>
      </c>
      <c r="D57" t="s">
        <v>132</v>
      </c>
      <c r="E57" t="s">
        <v>463</v>
      </c>
      <c r="F57">
        <v>17</v>
      </c>
      <c r="G57">
        <v>25</v>
      </c>
      <c r="H57">
        <v>425</v>
      </c>
      <c r="I57" t="s">
        <v>456</v>
      </c>
      <c r="J57" t="str">
        <f t="shared" si="0"/>
        <v/>
      </c>
      <c r="K57" t="str">
        <f t="shared" si="1"/>
        <v>Standard</v>
      </c>
    </row>
    <row r="58" spans="1:11" x14ac:dyDescent="0.3">
      <c r="A58">
        <v>1056</v>
      </c>
      <c r="B58" s="5">
        <v>46346</v>
      </c>
      <c r="C58" t="s">
        <v>458</v>
      </c>
      <c r="D58" t="s">
        <v>132</v>
      </c>
      <c r="E58" t="s">
        <v>463</v>
      </c>
      <c r="F58">
        <v>48</v>
      </c>
      <c r="G58">
        <v>25</v>
      </c>
      <c r="H58">
        <v>1200</v>
      </c>
      <c r="I58" t="s">
        <v>460</v>
      </c>
      <c r="J58" t="str">
        <f t="shared" si="0"/>
        <v>Call</v>
      </c>
      <c r="K58" t="str">
        <f t="shared" si="1"/>
        <v>Standard</v>
      </c>
    </row>
    <row r="59" spans="1:11" x14ac:dyDescent="0.3">
      <c r="A59">
        <v>1057</v>
      </c>
      <c r="B59" s="5">
        <v>46347</v>
      </c>
      <c r="C59" t="s">
        <v>466</v>
      </c>
      <c r="D59" t="s">
        <v>129</v>
      </c>
      <c r="E59" t="s">
        <v>455</v>
      </c>
      <c r="F59">
        <v>6</v>
      </c>
      <c r="G59">
        <v>1200</v>
      </c>
      <c r="H59">
        <v>7200</v>
      </c>
      <c r="I59" t="s">
        <v>456</v>
      </c>
      <c r="J59" t="str">
        <f t="shared" si="0"/>
        <v/>
      </c>
      <c r="K59" t="str">
        <f t="shared" si="1"/>
        <v>High</v>
      </c>
    </row>
    <row r="60" spans="1:11" x14ac:dyDescent="0.3">
      <c r="A60">
        <v>1058</v>
      </c>
      <c r="B60" s="5">
        <v>46348</v>
      </c>
      <c r="C60" t="s">
        <v>465</v>
      </c>
      <c r="D60" t="s">
        <v>131</v>
      </c>
      <c r="E60" t="s">
        <v>461</v>
      </c>
      <c r="F60">
        <v>9</v>
      </c>
      <c r="G60">
        <v>80</v>
      </c>
      <c r="H60">
        <v>720</v>
      </c>
      <c r="I60" t="s">
        <v>460</v>
      </c>
      <c r="J60" t="str">
        <f t="shared" si="0"/>
        <v>Call</v>
      </c>
      <c r="K60" t="str">
        <f t="shared" si="1"/>
        <v>Standard</v>
      </c>
    </row>
    <row r="61" spans="1:11" x14ac:dyDescent="0.3">
      <c r="A61">
        <v>1059</v>
      </c>
      <c r="B61" s="5">
        <v>46349</v>
      </c>
      <c r="C61" t="s">
        <v>466</v>
      </c>
      <c r="D61" t="s">
        <v>129</v>
      </c>
      <c r="E61" t="s">
        <v>461</v>
      </c>
      <c r="F61">
        <v>19</v>
      </c>
      <c r="G61">
        <v>80</v>
      </c>
      <c r="H61">
        <v>1520</v>
      </c>
      <c r="I61" t="s">
        <v>456</v>
      </c>
      <c r="J61" t="str">
        <f t="shared" si="0"/>
        <v/>
      </c>
      <c r="K61" t="str">
        <f t="shared" si="1"/>
        <v>Standard</v>
      </c>
    </row>
    <row r="62" spans="1:11" x14ac:dyDescent="0.3">
      <c r="A62">
        <v>1060</v>
      </c>
      <c r="B62" s="5">
        <v>46350</v>
      </c>
      <c r="C62" t="s">
        <v>458</v>
      </c>
      <c r="D62" t="s">
        <v>132</v>
      </c>
      <c r="E62" t="s">
        <v>455</v>
      </c>
      <c r="F62">
        <v>11</v>
      </c>
      <c r="G62">
        <v>1200</v>
      </c>
      <c r="H62">
        <v>13200</v>
      </c>
      <c r="I62" t="s">
        <v>456</v>
      </c>
      <c r="J62" t="str">
        <f t="shared" si="0"/>
        <v/>
      </c>
      <c r="K62" t="str">
        <f t="shared" si="1"/>
        <v>High</v>
      </c>
    </row>
    <row r="63" spans="1:11" x14ac:dyDescent="0.3">
      <c r="A63">
        <v>1061</v>
      </c>
      <c r="B63" s="5">
        <v>46351</v>
      </c>
      <c r="C63" t="s">
        <v>465</v>
      </c>
      <c r="D63" t="s">
        <v>397</v>
      </c>
      <c r="E63" t="s">
        <v>459</v>
      </c>
      <c r="F63">
        <v>31</v>
      </c>
      <c r="G63">
        <v>300</v>
      </c>
      <c r="H63">
        <v>9300</v>
      </c>
      <c r="I63" t="s">
        <v>456</v>
      </c>
      <c r="J63" t="str">
        <f t="shared" si="0"/>
        <v/>
      </c>
      <c r="K63" t="str">
        <f t="shared" si="1"/>
        <v>High</v>
      </c>
    </row>
    <row r="64" spans="1:11" x14ac:dyDescent="0.3">
      <c r="A64">
        <v>1062</v>
      </c>
      <c r="B64" s="5">
        <v>46352</v>
      </c>
      <c r="C64" t="s">
        <v>458</v>
      </c>
      <c r="D64" t="s">
        <v>129</v>
      </c>
      <c r="E64" t="s">
        <v>457</v>
      </c>
      <c r="F64">
        <v>13</v>
      </c>
      <c r="G64">
        <v>45</v>
      </c>
      <c r="H64">
        <v>585</v>
      </c>
      <c r="I64" t="s">
        <v>460</v>
      </c>
      <c r="J64" t="str">
        <f t="shared" si="0"/>
        <v>Call</v>
      </c>
      <c r="K64" t="str">
        <f t="shared" si="1"/>
        <v>Standard</v>
      </c>
    </row>
    <row r="65" spans="1:11" x14ac:dyDescent="0.3">
      <c r="A65">
        <v>1063</v>
      </c>
      <c r="B65" s="5">
        <v>46353</v>
      </c>
      <c r="C65" t="s">
        <v>465</v>
      </c>
      <c r="D65" t="s">
        <v>130</v>
      </c>
      <c r="E65" t="s">
        <v>461</v>
      </c>
      <c r="F65">
        <v>6</v>
      </c>
      <c r="G65">
        <v>80</v>
      </c>
      <c r="H65">
        <v>480</v>
      </c>
      <c r="I65" t="s">
        <v>456</v>
      </c>
      <c r="J65" t="str">
        <f t="shared" si="0"/>
        <v/>
      </c>
      <c r="K65" t="str">
        <f t="shared" si="1"/>
        <v>Standard</v>
      </c>
    </row>
    <row r="66" spans="1:11" x14ac:dyDescent="0.3">
      <c r="A66">
        <v>1064</v>
      </c>
      <c r="B66" s="5">
        <v>46354</v>
      </c>
      <c r="C66" t="s">
        <v>458</v>
      </c>
      <c r="D66" t="s">
        <v>131</v>
      </c>
      <c r="E66" t="s">
        <v>461</v>
      </c>
      <c r="F66">
        <v>18</v>
      </c>
      <c r="G66">
        <v>80</v>
      </c>
      <c r="H66">
        <v>1440</v>
      </c>
      <c r="I66" t="s">
        <v>464</v>
      </c>
      <c r="J66" t="str">
        <f t="shared" si="0"/>
        <v/>
      </c>
      <c r="K66" t="str">
        <f t="shared" si="1"/>
        <v>Standard</v>
      </c>
    </row>
    <row r="67" spans="1:11" x14ac:dyDescent="0.3">
      <c r="A67">
        <v>1065</v>
      </c>
      <c r="B67" s="5">
        <v>46355</v>
      </c>
      <c r="C67" t="s">
        <v>458</v>
      </c>
      <c r="D67" t="s">
        <v>132</v>
      </c>
      <c r="E67" t="s">
        <v>461</v>
      </c>
      <c r="F67">
        <v>42</v>
      </c>
      <c r="G67">
        <v>80</v>
      </c>
      <c r="H67">
        <v>3360</v>
      </c>
      <c r="I67" t="s">
        <v>464</v>
      </c>
      <c r="J67" t="str">
        <f t="shared" si="0"/>
        <v/>
      </c>
      <c r="K67" t="str">
        <f t="shared" si="1"/>
        <v>Standard</v>
      </c>
    </row>
    <row r="68" spans="1:11" x14ac:dyDescent="0.3">
      <c r="A68">
        <v>1066</v>
      </c>
      <c r="B68" s="5">
        <v>46356</v>
      </c>
      <c r="C68" t="s">
        <v>465</v>
      </c>
      <c r="D68" t="s">
        <v>130</v>
      </c>
      <c r="E68" t="s">
        <v>463</v>
      </c>
      <c r="F68">
        <v>25</v>
      </c>
      <c r="G68">
        <v>25</v>
      </c>
      <c r="H68">
        <v>625</v>
      </c>
      <c r="I68" t="s">
        <v>460</v>
      </c>
      <c r="J68" t="str">
        <f t="shared" ref="J68:J131" si="2">IF(I68="Pending","Call","")</f>
        <v>Call</v>
      </c>
      <c r="K68" t="str">
        <f t="shared" ref="K68:K131" si="3">IF(H68&gt;5000,"High","Standard")</f>
        <v>Standard</v>
      </c>
    </row>
    <row r="69" spans="1:11" x14ac:dyDescent="0.3">
      <c r="A69">
        <v>1067</v>
      </c>
      <c r="B69" s="5">
        <v>46357</v>
      </c>
      <c r="C69" t="s">
        <v>458</v>
      </c>
      <c r="D69" t="s">
        <v>129</v>
      </c>
      <c r="E69" t="s">
        <v>461</v>
      </c>
      <c r="F69">
        <v>14</v>
      </c>
      <c r="G69">
        <v>80</v>
      </c>
      <c r="H69">
        <v>1120</v>
      </c>
      <c r="I69" t="s">
        <v>456</v>
      </c>
      <c r="J69" t="str">
        <f t="shared" si="2"/>
        <v/>
      </c>
      <c r="K69" t="str">
        <f t="shared" si="3"/>
        <v>Standard</v>
      </c>
    </row>
    <row r="70" spans="1:11" x14ac:dyDescent="0.3">
      <c r="A70">
        <v>1068</v>
      </c>
      <c r="B70" s="5">
        <v>46358</v>
      </c>
      <c r="C70" t="s">
        <v>466</v>
      </c>
      <c r="D70" t="s">
        <v>397</v>
      </c>
      <c r="E70" t="s">
        <v>463</v>
      </c>
      <c r="F70">
        <v>49</v>
      </c>
      <c r="G70">
        <v>25</v>
      </c>
      <c r="H70">
        <v>1225</v>
      </c>
      <c r="I70" t="s">
        <v>464</v>
      </c>
      <c r="J70" t="str">
        <f t="shared" si="2"/>
        <v/>
      </c>
      <c r="K70" t="str">
        <f t="shared" si="3"/>
        <v>Standard</v>
      </c>
    </row>
    <row r="71" spans="1:11" x14ac:dyDescent="0.3">
      <c r="A71">
        <v>1069</v>
      </c>
      <c r="B71" s="5">
        <v>46359</v>
      </c>
      <c r="C71" t="s">
        <v>462</v>
      </c>
      <c r="D71" t="s">
        <v>132</v>
      </c>
      <c r="E71" t="s">
        <v>457</v>
      </c>
      <c r="F71">
        <v>32</v>
      </c>
      <c r="G71">
        <v>45</v>
      </c>
      <c r="H71">
        <v>1440</v>
      </c>
      <c r="I71" t="s">
        <v>464</v>
      </c>
      <c r="J71" t="str">
        <f t="shared" si="2"/>
        <v/>
      </c>
      <c r="K71" t="str">
        <f t="shared" si="3"/>
        <v>Standard</v>
      </c>
    </row>
    <row r="72" spans="1:11" x14ac:dyDescent="0.3">
      <c r="A72">
        <v>1070</v>
      </c>
      <c r="B72" s="5">
        <v>46360</v>
      </c>
      <c r="C72" t="s">
        <v>454</v>
      </c>
      <c r="D72" t="s">
        <v>130</v>
      </c>
      <c r="E72" t="s">
        <v>457</v>
      </c>
      <c r="F72">
        <v>18</v>
      </c>
      <c r="G72">
        <v>45</v>
      </c>
      <c r="H72">
        <v>810</v>
      </c>
      <c r="I72" t="s">
        <v>456</v>
      </c>
      <c r="J72" t="str">
        <f t="shared" si="2"/>
        <v/>
      </c>
      <c r="K72" t="str">
        <f t="shared" si="3"/>
        <v>Standard</v>
      </c>
    </row>
    <row r="73" spans="1:11" x14ac:dyDescent="0.3">
      <c r="A73">
        <v>1071</v>
      </c>
      <c r="B73" s="5">
        <v>46361</v>
      </c>
      <c r="C73" t="s">
        <v>458</v>
      </c>
      <c r="D73" t="s">
        <v>129</v>
      </c>
      <c r="E73" t="s">
        <v>459</v>
      </c>
      <c r="F73">
        <v>40</v>
      </c>
      <c r="G73">
        <v>300</v>
      </c>
      <c r="H73">
        <v>12000</v>
      </c>
      <c r="I73" t="s">
        <v>456</v>
      </c>
      <c r="J73" t="str">
        <f t="shared" si="2"/>
        <v/>
      </c>
      <c r="K73" t="str">
        <f t="shared" si="3"/>
        <v>High</v>
      </c>
    </row>
    <row r="74" spans="1:11" x14ac:dyDescent="0.3">
      <c r="A74">
        <v>1072</v>
      </c>
      <c r="B74" s="5">
        <v>46362</v>
      </c>
      <c r="C74" t="s">
        <v>454</v>
      </c>
      <c r="D74" t="s">
        <v>397</v>
      </c>
      <c r="E74" t="s">
        <v>463</v>
      </c>
      <c r="F74">
        <v>15</v>
      </c>
      <c r="G74">
        <v>25</v>
      </c>
      <c r="H74">
        <v>375</v>
      </c>
      <c r="I74" t="s">
        <v>456</v>
      </c>
      <c r="J74" t="str">
        <f t="shared" si="2"/>
        <v/>
      </c>
      <c r="K74" t="str">
        <f t="shared" si="3"/>
        <v>Standard</v>
      </c>
    </row>
    <row r="75" spans="1:11" x14ac:dyDescent="0.3">
      <c r="A75">
        <v>1073</v>
      </c>
      <c r="B75" s="5">
        <v>46363</v>
      </c>
      <c r="C75" t="s">
        <v>462</v>
      </c>
      <c r="D75" t="s">
        <v>131</v>
      </c>
      <c r="E75" t="s">
        <v>463</v>
      </c>
      <c r="F75">
        <v>28</v>
      </c>
      <c r="G75">
        <v>25</v>
      </c>
      <c r="H75">
        <v>700</v>
      </c>
      <c r="I75" t="s">
        <v>460</v>
      </c>
      <c r="J75" t="str">
        <f t="shared" si="2"/>
        <v>Call</v>
      </c>
      <c r="K75" t="str">
        <f t="shared" si="3"/>
        <v>Standard</v>
      </c>
    </row>
    <row r="76" spans="1:11" x14ac:dyDescent="0.3">
      <c r="A76">
        <v>1074</v>
      </c>
      <c r="B76" s="5">
        <v>46364</v>
      </c>
      <c r="C76" t="s">
        <v>462</v>
      </c>
      <c r="D76" t="s">
        <v>132</v>
      </c>
      <c r="E76" t="s">
        <v>463</v>
      </c>
      <c r="F76">
        <v>44</v>
      </c>
      <c r="G76">
        <v>25</v>
      </c>
      <c r="H76">
        <v>1100</v>
      </c>
      <c r="I76" t="s">
        <v>456</v>
      </c>
      <c r="J76" t="str">
        <f t="shared" si="2"/>
        <v/>
      </c>
      <c r="K76" t="str">
        <f t="shared" si="3"/>
        <v>Standard</v>
      </c>
    </row>
    <row r="77" spans="1:11" x14ac:dyDescent="0.3">
      <c r="A77">
        <v>1075</v>
      </c>
      <c r="B77" s="5">
        <v>46365</v>
      </c>
      <c r="C77" t="s">
        <v>458</v>
      </c>
      <c r="D77" t="s">
        <v>130</v>
      </c>
      <c r="E77" t="s">
        <v>461</v>
      </c>
      <c r="F77">
        <v>16</v>
      </c>
      <c r="G77">
        <v>80</v>
      </c>
      <c r="H77">
        <v>1280</v>
      </c>
      <c r="I77" t="s">
        <v>464</v>
      </c>
      <c r="J77" t="str">
        <f t="shared" si="2"/>
        <v/>
      </c>
      <c r="K77" t="str">
        <f t="shared" si="3"/>
        <v>Standard</v>
      </c>
    </row>
    <row r="78" spans="1:11" x14ac:dyDescent="0.3">
      <c r="A78">
        <v>1076</v>
      </c>
      <c r="B78" s="5">
        <v>46366</v>
      </c>
      <c r="C78" t="s">
        <v>454</v>
      </c>
      <c r="D78" t="s">
        <v>131</v>
      </c>
      <c r="E78" t="s">
        <v>463</v>
      </c>
      <c r="F78">
        <v>23</v>
      </c>
      <c r="G78">
        <v>25</v>
      </c>
      <c r="H78">
        <v>575</v>
      </c>
      <c r="I78" t="s">
        <v>460</v>
      </c>
      <c r="J78" t="str">
        <f t="shared" si="2"/>
        <v>Call</v>
      </c>
      <c r="K78" t="str">
        <f t="shared" si="3"/>
        <v>Standard</v>
      </c>
    </row>
    <row r="79" spans="1:11" x14ac:dyDescent="0.3">
      <c r="A79">
        <v>1077</v>
      </c>
      <c r="B79" s="5">
        <v>46367</v>
      </c>
      <c r="C79" t="s">
        <v>458</v>
      </c>
      <c r="D79" t="s">
        <v>129</v>
      </c>
      <c r="E79" t="s">
        <v>461</v>
      </c>
      <c r="F79">
        <v>40</v>
      </c>
      <c r="G79">
        <v>80</v>
      </c>
      <c r="H79">
        <v>3200</v>
      </c>
      <c r="I79" t="s">
        <v>464</v>
      </c>
      <c r="J79" t="str">
        <f t="shared" si="2"/>
        <v/>
      </c>
      <c r="K79" t="str">
        <f t="shared" si="3"/>
        <v>Standard</v>
      </c>
    </row>
    <row r="80" spans="1:11" x14ac:dyDescent="0.3">
      <c r="A80">
        <v>1078</v>
      </c>
      <c r="B80" s="5">
        <v>46368</v>
      </c>
      <c r="C80" t="s">
        <v>465</v>
      </c>
      <c r="D80" t="s">
        <v>131</v>
      </c>
      <c r="E80" t="s">
        <v>455</v>
      </c>
      <c r="F80">
        <v>48</v>
      </c>
      <c r="G80">
        <v>1200</v>
      </c>
      <c r="H80">
        <v>57600</v>
      </c>
      <c r="I80" t="s">
        <v>456</v>
      </c>
      <c r="J80" t="str">
        <f t="shared" si="2"/>
        <v/>
      </c>
      <c r="K80" t="str">
        <f t="shared" si="3"/>
        <v>High</v>
      </c>
    </row>
    <row r="81" spans="1:11" x14ac:dyDescent="0.3">
      <c r="A81">
        <v>1079</v>
      </c>
      <c r="B81" s="5">
        <v>46369</v>
      </c>
      <c r="C81" t="s">
        <v>458</v>
      </c>
      <c r="D81" t="s">
        <v>130</v>
      </c>
      <c r="E81" t="s">
        <v>461</v>
      </c>
      <c r="F81">
        <v>34</v>
      </c>
      <c r="G81">
        <v>80</v>
      </c>
      <c r="H81">
        <v>2720</v>
      </c>
      <c r="I81" t="s">
        <v>464</v>
      </c>
      <c r="J81" t="str">
        <f t="shared" si="2"/>
        <v/>
      </c>
      <c r="K81" t="str">
        <f t="shared" si="3"/>
        <v>Standard</v>
      </c>
    </row>
    <row r="82" spans="1:11" x14ac:dyDescent="0.3">
      <c r="A82">
        <v>1080</v>
      </c>
      <c r="B82" s="5">
        <v>46370</v>
      </c>
      <c r="C82" t="s">
        <v>454</v>
      </c>
      <c r="D82" t="s">
        <v>131</v>
      </c>
      <c r="E82" t="s">
        <v>459</v>
      </c>
      <c r="F82">
        <v>23</v>
      </c>
      <c r="G82">
        <v>300</v>
      </c>
      <c r="H82">
        <v>6900</v>
      </c>
      <c r="I82" t="s">
        <v>460</v>
      </c>
      <c r="J82" t="str">
        <f t="shared" si="2"/>
        <v>Call</v>
      </c>
      <c r="K82" t="str">
        <f t="shared" si="3"/>
        <v>High</v>
      </c>
    </row>
    <row r="83" spans="1:11" x14ac:dyDescent="0.3">
      <c r="A83">
        <v>1081</v>
      </c>
      <c r="B83" s="5">
        <v>46371</v>
      </c>
      <c r="C83" t="s">
        <v>466</v>
      </c>
      <c r="D83" t="s">
        <v>129</v>
      </c>
      <c r="E83" t="s">
        <v>457</v>
      </c>
      <c r="F83">
        <v>19</v>
      </c>
      <c r="G83">
        <v>45</v>
      </c>
      <c r="H83">
        <v>855</v>
      </c>
      <c r="I83" t="s">
        <v>464</v>
      </c>
      <c r="J83" t="str">
        <f t="shared" si="2"/>
        <v/>
      </c>
      <c r="K83" t="str">
        <f t="shared" si="3"/>
        <v>Standard</v>
      </c>
    </row>
    <row r="84" spans="1:11" x14ac:dyDescent="0.3">
      <c r="A84">
        <v>1082</v>
      </c>
      <c r="B84" s="5">
        <v>46372</v>
      </c>
      <c r="C84" t="s">
        <v>466</v>
      </c>
      <c r="D84" t="s">
        <v>129</v>
      </c>
      <c r="E84" t="s">
        <v>457</v>
      </c>
      <c r="F84">
        <v>19</v>
      </c>
      <c r="G84">
        <v>45</v>
      </c>
      <c r="H84">
        <v>855</v>
      </c>
      <c r="I84" t="s">
        <v>460</v>
      </c>
      <c r="J84" t="str">
        <f t="shared" si="2"/>
        <v>Call</v>
      </c>
      <c r="K84" t="str">
        <f t="shared" si="3"/>
        <v>Standard</v>
      </c>
    </row>
    <row r="85" spans="1:11" x14ac:dyDescent="0.3">
      <c r="A85">
        <v>1083</v>
      </c>
      <c r="B85" s="5">
        <v>46373</v>
      </c>
      <c r="C85" t="s">
        <v>466</v>
      </c>
      <c r="D85" t="s">
        <v>129</v>
      </c>
      <c r="E85" t="s">
        <v>455</v>
      </c>
      <c r="F85">
        <v>28</v>
      </c>
      <c r="G85">
        <v>1200</v>
      </c>
      <c r="H85">
        <v>33600</v>
      </c>
      <c r="I85" t="s">
        <v>456</v>
      </c>
      <c r="J85" t="str">
        <f t="shared" si="2"/>
        <v/>
      </c>
      <c r="K85" t="str">
        <f t="shared" si="3"/>
        <v>High</v>
      </c>
    </row>
    <row r="86" spans="1:11" x14ac:dyDescent="0.3">
      <c r="A86">
        <v>1084</v>
      </c>
      <c r="B86" s="5">
        <v>46374</v>
      </c>
      <c r="C86" t="s">
        <v>458</v>
      </c>
      <c r="D86" t="s">
        <v>132</v>
      </c>
      <c r="E86" t="s">
        <v>459</v>
      </c>
      <c r="F86">
        <v>26</v>
      </c>
      <c r="G86">
        <v>300</v>
      </c>
      <c r="H86">
        <v>7800</v>
      </c>
      <c r="I86" t="s">
        <v>464</v>
      </c>
      <c r="J86" t="str">
        <f t="shared" si="2"/>
        <v/>
      </c>
      <c r="K86" t="str">
        <f t="shared" si="3"/>
        <v>High</v>
      </c>
    </row>
    <row r="87" spans="1:11" x14ac:dyDescent="0.3">
      <c r="A87">
        <v>1085</v>
      </c>
      <c r="B87" s="5">
        <v>46375</v>
      </c>
      <c r="C87" t="s">
        <v>454</v>
      </c>
      <c r="D87" t="s">
        <v>129</v>
      </c>
      <c r="E87" t="s">
        <v>455</v>
      </c>
      <c r="F87">
        <v>12</v>
      </c>
      <c r="G87">
        <v>1200</v>
      </c>
      <c r="H87">
        <v>14400</v>
      </c>
      <c r="I87" t="s">
        <v>456</v>
      </c>
      <c r="J87" t="str">
        <f t="shared" si="2"/>
        <v/>
      </c>
      <c r="K87" t="str">
        <f t="shared" si="3"/>
        <v>High</v>
      </c>
    </row>
    <row r="88" spans="1:11" x14ac:dyDescent="0.3">
      <c r="A88">
        <v>1086</v>
      </c>
      <c r="B88" s="5">
        <v>46376</v>
      </c>
      <c r="C88" t="s">
        <v>466</v>
      </c>
      <c r="D88" t="s">
        <v>130</v>
      </c>
      <c r="E88" t="s">
        <v>463</v>
      </c>
      <c r="F88">
        <v>7</v>
      </c>
      <c r="G88">
        <v>25</v>
      </c>
      <c r="H88">
        <v>175</v>
      </c>
      <c r="I88" t="s">
        <v>456</v>
      </c>
      <c r="J88" t="str">
        <f t="shared" si="2"/>
        <v/>
      </c>
      <c r="K88" t="str">
        <f t="shared" si="3"/>
        <v>Standard</v>
      </c>
    </row>
    <row r="89" spans="1:11" x14ac:dyDescent="0.3">
      <c r="A89">
        <v>1087</v>
      </c>
      <c r="B89" s="5">
        <v>46377</v>
      </c>
      <c r="C89" t="s">
        <v>458</v>
      </c>
      <c r="D89" t="s">
        <v>397</v>
      </c>
      <c r="E89" t="s">
        <v>457</v>
      </c>
      <c r="F89">
        <v>14</v>
      </c>
      <c r="G89">
        <v>45</v>
      </c>
      <c r="H89">
        <v>630</v>
      </c>
      <c r="I89" t="s">
        <v>464</v>
      </c>
      <c r="J89" t="str">
        <f t="shared" si="2"/>
        <v/>
      </c>
      <c r="K89" t="str">
        <f t="shared" si="3"/>
        <v>Standard</v>
      </c>
    </row>
    <row r="90" spans="1:11" x14ac:dyDescent="0.3">
      <c r="A90">
        <v>1088</v>
      </c>
      <c r="B90" s="5">
        <v>46378</v>
      </c>
      <c r="C90" t="s">
        <v>466</v>
      </c>
      <c r="D90" t="s">
        <v>397</v>
      </c>
      <c r="E90" t="s">
        <v>457</v>
      </c>
      <c r="F90">
        <v>38</v>
      </c>
      <c r="G90">
        <v>45</v>
      </c>
      <c r="H90">
        <v>1710</v>
      </c>
      <c r="I90" t="s">
        <v>456</v>
      </c>
      <c r="J90" t="str">
        <f t="shared" si="2"/>
        <v/>
      </c>
      <c r="K90" t="str">
        <f t="shared" si="3"/>
        <v>Standard</v>
      </c>
    </row>
    <row r="91" spans="1:11" x14ac:dyDescent="0.3">
      <c r="A91">
        <v>1089</v>
      </c>
      <c r="B91" s="5">
        <v>46379</v>
      </c>
      <c r="C91" t="s">
        <v>466</v>
      </c>
      <c r="D91" t="s">
        <v>130</v>
      </c>
      <c r="E91" t="s">
        <v>463</v>
      </c>
      <c r="F91">
        <v>26</v>
      </c>
      <c r="G91">
        <v>25</v>
      </c>
      <c r="H91">
        <v>650</v>
      </c>
      <c r="I91" t="s">
        <v>460</v>
      </c>
      <c r="J91" t="str">
        <f t="shared" si="2"/>
        <v>Call</v>
      </c>
      <c r="K91" t="str">
        <f t="shared" si="3"/>
        <v>Standard</v>
      </c>
    </row>
    <row r="92" spans="1:11" x14ac:dyDescent="0.3">
      <c r="A92">
        <v>1090</v>
      </c>
      <c r="B92" s="5">
        <v>46380</v>
      </c>
      <c r="C92" t="s">
        <v>454</v>
      </c>
      <c r="D92" t="s">
        <v>132</v>
      </c>
      <c r="E92" t="s">
        <v>459</v>
      </c>
      <c r="F92">
        <v>44</v>
      </c>
      <c r="G92">
        <v>300</v>
      </c>
      <c r="H92">
        <v>13200</v>
      </c>
      <c r="I92" t="s">
        <v>456</v>
      </c>
      <c r="J92" t="str">
        <f t="shared" si="2"/>
        <v/>
      </c>
      <c r="K92" t="str">
        <f t="shared" si="3"/>
        <v>High</v>
      </c>
    </row>
    <row r="93" spans="1:11" x14ac:dyDescent="0.3">
      <c r="A93">
        <v>1091</v>
      </c>
      <c r="B93" s="5">
        <v>46381</v>
      </c>
      <c r="C93" t="s">
        <v>465</v>
      </c>
      <c r="D93" t="s">
        <v>131</v>
      </c>
      <c r="E93" t="s">
        <v>457</v>
      </c>
      <c r="F93">
        <v>39</v>
      </c>
      <c r="G93">
        <v>45</v>
      </c>
      <c r="H93">
        <v>1755</v>
      </c>
      <c r="I93" t="s">
        <v>456</v>
      </c>
      <c r="J93" t="str">
        <f t="shared" si="2"/>
        <v/>
      </c>
      <c r="K93" t="str">
        <f t="shared" si="3"/>
        <v>Standard</v>
      </c>
    </row>
    <row r="94" spans="1:11" x14ac:dyDescent="0.3">
      <c r="A94">
        <v>1092</v>
      </c>
      <c r="B94" s="5">
        <v>46382</v>
      </c>
      <c r="C94" t="s">
        <v>462</v>
      </c>
      <c r="D94" t="s">
        <v>132</v>
      </c>
      <c r="E94" t="s">
        <v>455</v>
      </c>
      <c r="F94">
        <v>19</v>
      </c>
      <c r="G94">
        <v>1200</v>
      </c>
      <c r="H94">
        <v>22800</v>
      </c>
      <c r="I94" t="s">
        <v>456</v>
      </c>
      <c r="J94" t="str">
        <f t="shared" si="2"/>
        <v/>
      </c>
      <c r="K94" t="str">
        <f t="shared" si="3"/>
        <v>High</v>
      </c>
    </row>
    <row r="95" spans="1:11" x14ac:dyDescent="0.3">
      <c r="A95">
        <v>1093</v>
      </c>
      <c r="B95" s="5">
        <v>46383</v>
      </c>
      <c r="C95" t="s">
        <v>466</v>
      </c>
      <c r="D95" t="s">
        <v>131</v>
      </c>
      <c r="E95" t="s">
        <v>455</v>
      </c>
      <c r="F95">
        <v>39</v>
      </c>
      <c r="G95">
        <v>1200</v>
      </c>
      <c r="H95">
        <v>46800</v>
      </c>
      <c r="I95" t="s">
        <v>456</v>
      </c>
      <c r="J95" t="str">
        <f t="shared" si="2"/>
        <v/>
      </c>
      <c r="K95" t="str">
        <f t="shared" si="3"/>
        <v>High</v>
      </c>
    </row>
    <row r="96" spans="1:11" x14ac:dyDescent="0.3">
      <c r="A96">
        <v>1094</v>
      </c>
      <c r="B96" s="5">
        <v>46384</v>
      </c>
      <c r="C96" t="s">
        <v>466</v>
      </c>
      <c r="D96" t="s">
        <v>131</v>
      </c>
      <c r="E96" t="s">
        <v>455</v>
      </c>
      <c r="F96">
        <v>17</v>
      </c>
      <c r="G96">
        <v>1200</v>
      </c>
      <c r="H96">
        <v>20400</v>
      </c>
      <c r="I96" t="s">
        <v>456</v>
      </c>
      <c r="J96" t="str">
        <f t="shared" si="2"/>
        <v/>
      </c>
      <c r="K96" t="str">
        <f t="shared" si="3"/>
        <v>High</v>
      </c>
    </row>
    <row r="97" spans="1:11" x14ac:dyDescent="0.3">
      <c r="A97">
        <v>1095</v>
      </c>
      <c r="B97" s="5">
        <v>46385</v>
      </c>
      <c r="C97" t="s">
        <v>462</v>
      </c>
      <c r="D97" t="s">
        <v>131</v>
      </c>
      <c r="E97" t="s">
        <v>457</v>
      </c>
      <c r="F97">
        <v>12</v>
      </c>
      <c r="G97">
        <v>45</v>
      </c>
      <c r="H97">
        <v>540</v>
      </c>
      <c r="I97" t="s">
        <v>456</v>
      </c>
      <c r="J97" t="str">
        <f t="shared" si="2"/>
        <v/>
      </c>
      <c r="K97" t="str">
        <f t="shared" si="3"/>
        <v>Standard</v>
      </c>
    </row>
    <row r="98" spans="1:11" x14ac:dyDescent="0.3">
      <c r="A98">
        <v>1096</v>
      </c>
      <c r="B98" s="5">
        <v>46386</v>
      </c>
      <c r="C98" t="s">
        <v>454</v>
      </c>
      <c r="D98" t="s">
        <v>130</v>
      </c>
      <c r="E98" t="s">
        <v>457</v>
      </c>
      <c r="F98">
        <v>14</v>
      </c>
      <c r="G98">
        <v>45</v>
      </c>
      <c r="H98">
        <v>630</v>
      </c>
      <c r="I98" t="s">
        <v>456</v>
      </c>
      <c r="J98" t="str">
        <f t="shared" si="2"/>
        <v/>
      </c>
      <c r="K98" t="str">
        <f t="shared" si="3"/>
        <v>Standard</v>
      </c>
    </row>
    <row r="99" spans="1:11" x14ac:dyDescent="0.3">
      <c r="A99">
        <v>1097</v>
      </c>
      <c r="B99" s="5">
        <v>46387</v>
      </c>
      <c r="C99" t="s">
        <v>462</v>
      </c>
      <c r="D99" t="s">
        <v>130</v>
      </c>
      <c r="E99" t="s">
        <v>461</v>
      </c>
      <c r="F99">
        <v>48</v>
      </c>
      <c r="G99">
        <v>80</v>
      </c>
      <c r="H99">
        <v>3840</v>
      </c>
      <c r="I99" t="s">
        <v>460</v>
      </c>
      <c r="J99" t="str">
        <f t="shared" si="2"/>
        <v>Call</v>
      </c>
      <c r="K99" t="str">
        <f t="shared" si="3"/>
        <v>Standard</v>
      </c>
    </row>
    <row r="100" spans="1:11" x14ac:dyDescent="0.3">
      <c r="A100">
        <v>1098</v>
      </c>
      <c r="B100" s="5">
        <v>46388</v>
      </c>
      <c r="C100" t="s">
        <v>466</v>
      </c>
      <c r="D100" t="s">
        <v>130</v>
      </c>
      <c r="E100" t="s">
        <v>459</v>
      </c>
      <c r="F100">
        <v>31</v>
      </c>
      <c r="G100">
        <v>300</v>
      </c>
      <c r="H100">
        <v>9300</v>
      </c>
      <c r="I100" t="s">
        <v>464</v>
      </c>
      <c r="J100" t="str">
        <f t="shared" si="2"/>
        <v/>
      </c>
      <c r="K100" t="str">
        <f t="shared" si="3"/>
        <v>High</v>
      </c>
    </row>
    <row r="101" spans="1:11" x14ac:dyDescent="0.3">
      <c r="A101">
        <v>1099</v>
      </c>
      <c r="B101" s="5">
        <v>46389</v>
      </c>
      <c r="C101" t="s">
        <v>466</v>
      </c>
      <c r="D101" t="s">
        <v>397</v>
      </c>
      <c r="E101" t="s">
        <v>461</v>
      </c>
      <c r="F101">
        <v>45</v>
      </c>
      <c r="G101">
        <v>80</v>
      </c>
      <c r="H101">
        <v>3600</v>
      </c>
      <c r="I101" t="s">
        <v>456</v>
      </c>
      <c r="J101" t="str">
        <f t="shared" si="2"/>
        <v/>
      </c>
      <c r="K101" t="str">
        <f t="shared" si="3"/>
        <v>Standard</v>
      </c>
    </row>
    <row r="102" spans="1:11" x14ac:dyDescent="0.3">
      <c r="A102">
        <v>1100</v>
      </c>
      <c r="B102" s="5">
        <v>46390</v>
      </c>
      <c r="C102" t="s">
        <v>462</v>
      </c>
      <c r="D102" t="s">
        <v>132</v>
      </c>
      <c r="E102" t="s">
        <v>463</v>
      </c>
      <c r="F102">
        <v>40</v>
      </c>
      <c r="G102">
        <v>25</v>
      </c>
      <c r="H102">
        <v>1000</v>
      </c>
      <c r="I102" t="s">
        <v>464</v>
      </c>
      <c r="J102" t="str">
        <f t="shared" si="2"/>
        <v/>
      </c>
      <c r="K102" t="str">
        <f t="shared" si="3"/>
        <v>Standard</v>
      </c>
    </row>
    <row r="103" spans="1:11" x14ac:dyDescent="0.3">
      <c r="A103">
        <v>1101</v>
      </c>
      <c r="B103" s="5">
        <v>46391</v>
      </c>
      <c r="C103" t="s">
        <v>465</v>
      </c>
      <c r="D103" t="s">
        <v>130</v>
      </c>
      <c r="E103" t="s">
        <v>459</v>
      </c>
      <c r="F103">
        <v>45</v>
      </c>
      <c r="G103">
        <v>300</v>
      </c>
      <c r="H103">
        <v>13500</v>
      </c>
      <c r="I103" t="s">
        <v>464</v>
      </c>
      <c r="J103" t="str">
        <f t="shared" si="2"/>
        <v/>
      </c>
      <c r="K103" t="str">
        <f t="shared" si="3"/>
        <v>High</v>
      </c>
    </row>
    <row r="104" spans="1:11" x14ac:dyDescent="0.3">
      <c r="A104">
        <v>1102</v>
      </c>
      <c r="B104" s="5">
        <v>46392</v>
      </c>
      <c r="C104" t="s">
        <v>466</v>
      </c>
      <c r="D104" t="s">
        <v>130</v>
      </c>
      <c r="E104" t="s">
        <v>463</v>
      </c>
      <c r="F104">
        <v>34</v>
      </c>
      <c r="G104">
        <v>25</v>
      </c>
      <c r="H104">
        <v>850</v>
      </c>
      <c r="I104" t="s">
        <v>456</v>
      </c>
      <c r="J104" t="str">
        <f t="shared" si="2"/>
        <v/>
      </c>
      <c r="K104" t="str">
        <f t="shared" si="3"/>
        <v>Standard</v>
      </c>
    </row>
    <row r="105" spans="1:11" x14ac:dyDescent="0.3">
      <c r="A105">
        <v>1103</v>
      </c>
      <c r="B105" s="5">
        <v>46393</v>
      </c>
      <c r="C105" t="s">
        <v>458</v>
      </c>
      <c r="D105" t="s">
        <v>129</v>
      </c>
      <c r="E105" t="s">
        <v>457</v>
      </c>
      <c r="F105">
        <v>19</v>
      </c>
      <c r="G105">
        <v>45</v>
      </c>
      <c r="H105">
        <v>855</v>
      </c>
      <c r="I105" t="s">
        <v>456</v>
      </c>
      <c r="J105" t="str">
        <f t="shared" si="2"/>
        <v/>
      </c>
      <c r="K105" t="str">
        <f t="shared" si="3"/>
        <v>Standard</v>
      </c>
    </row>
    <row r="106" spans="1:11" x14ac:dyDescent="0.3">
      <c r="A106">
        <v>1104</v>
      </c>
      <c r="B106" s="5">
        <v>46394</v>
      </c>
      <c r="C106" t="s">
        <v>466</v>
      </c>
      <c r="D106" t="s">
        <v>132</v>
      </c>
      <c r="E106" t="s">
        <v>459</v>
      </c>
      <c r="F106">
        <v>8</v>
      </c>
      <c r="G106">
        <v>300</v>
      </c>
      <c r="H106">
        <v>2400</v>
      </c>
      <c r="I106" t="s">
        <v>456</v>
      </c>
      <c r="J106" t="str">
        <f t="shared" si="2"/>
        <v/>
      </c>
      <c r="K106" t="str">
        <f t="shared" si="3"/>
        <v>Standard</v>
      </c>
    </row>
    <row r="107" spans="1:11" x14ac:dyDescent="0.3">
      <c r="A107">
        <v>1105</v>
      </c>
      <c r="B107" s="5">
        <v>46395</v>
      </c>
      <c r="C107" t="s">
        <v>462</v>
      </c>
      <c r="D107" t="s">
        <v>397</v>
      </c>
      <c r="E107" t="s">
        <v>457</v>
      </c>
      <c r="F107">
        <v>28</v>
      </c>
      <c r="G107">
        <v>45</v>
      </c>
      <c r="H107">
        <v>1260</v>
      </c>
      <c r="I107" t="s">
        <v>456</v>
      </c>
      <c r="J107" t="str">
        <f t="shared" si="2"/>
        <v/>
      </c>
      <c r="K107" t="str">
        <f t="shared" si="3"/>
        <v>Standard</v>
      </c>
    </row>
    <row r="108" spans="1:11" x14ac:dyDescent="0.3">
      <c r="A108">
        <v>1106</v>
      </c>
      <c r="B108" s="5">
        <v>46396</v>
      </c>
      <c r="C108" t="s">
        <v>465</v>
      </c>
      <c r="D108" t="s">
        <v>397</v>
      </c>
      <c r="E108" t="s">
        <v>463</v>
      </c>
      <c r="F108">
        <v>41</v>
      </c>
      <c r="G108">
        <v>25</v>
      </c>
      <c r="H108">
        <v>1025</v>
      </c>
      <c r="I108" t="s">
        <v>456</v>
      </c>
      <c r="J108" t="str">
        <f t="shared" si="2"/>
        <v/>
      </c>
      <c r="K108" t="str">
        <f t="shared" si="3"/>
        <v>Standard</v>
      </c>
    </row>
    <row r="109" spans="1:11" x14ac:dyDescent="0.3">
      <c r="A109">
        <v>1107</v>
      </c>
      <c r="B109" s="5">
        <v>46397</v>
      </c>
      <c r="C109" t="s">
        <v>462</v>
      </c>
      <c r="D109" t="s">
        <v>129</v>
      </c>
      <c r="E109" t="s">
        <v>457</v>
      </c>
      <c r="F109">
        <v>43</v>
      </c>
      <c r="G109">
        <v>45</v>
      </c>
      <c r="H109">
        <v>1935</v>
      </c>
      <c r="I109" t="s">
        <v>456</v>
      </c>
      <c r="J109" t="str">
        <f t="shared" si="2"/>
        <v/>
      </c>
      <c r="K109" t="str">
        <f t="shared" si="3"/>
        <v>Standard</v>
      </c>
    </row>
    <row r="110" spans="1:11" x14ac:dyDescent="0.3">
      <c r="A110">
        <v>1108</v>
      </c>
      <c r="B110" s="5">
        <v>46398</v>
      </c>
      <c r="C110" t="s">
        <v>465</v>
      </c>
      <c r="D110" t="s">
        <v>397</v>
      </c>
      <c r="E110" t="s">
        <v>455</v>
      </c>
      <c r="F110">
        <v>49</v>
      </c>
      <c r="G110">
        <v>1200</v>
      </c>
      <c r="H110">
        <v>58800</v>
      </c>
      <c r="I110" t="s">
        <v>456</v>
      </c>
      <c r="J110" t="str">
        <f t="shared" si="2"/>
        <v/>
      </c>
      <c r="K110" t="str">
        <f t="shared" si="3"/>
        <v>High</v>
      </c>
    </row>
    <row r="111" spans="1:11" x14ac:dyDescent="0.3">
      <c r="A111">
        <v>1109</v>
      </c>
      <c r="B111" s="5">
        <v>46399</v>
      </c>
      <c r="C111" t="s">
        <v>465</v>
      </c>
      <c r="D111" t="s">
        <v>130</v>
      </c>
      <c r="E111" t="s">
        <v>457</v>
      </c>
      <c r="F111">
        <v>4</v>
      </c>
      <c r="G111">
        <v>45</v>
      </c>
      <c r="H111">
        <v>180</v>
      </c>
      <c r="I111" t="s">
        <v>464</v>
      </c>
      <c r="J111" t="str">
        <f t="shared" si="2"/>
        <v/>
      </c>
      <c r="K111" t="str">
        <f t="shared" si="3"/>
        <v>Standard</v>
      </c>
    </row>
    <row r="112" spans="1:11" x14ac:dyDescent="0.3">
      <c r="A112">
        <v>1110</v>
      </c>
      <c r="B112" s="5">
        <v>46400</v>
      </c>
      <c r="C112" t="s">
        <v>454</v>
      </c>
      <c r="D112" t="s">
        <v>130</v>
      </c>
      <c r="E112" t="s">
        <v>455</v>
      </c>
      <c r="F112">
        <v>42</v>
      </c>
      <c r="G112">
        <v>1200</v>
      </c>
      <c r="H112">
        <v>50400</v>
      </c>
      <c r="I112" t="s">
        <v>460</v>
      </c>
      <c r="J112" t="str">
        <f t="shared" si="2"/>
        <v>Call</v>
      </c>
      <c r="K112" t="str">
        <f t="shared" si="3"/>
        <v>High</v>
      </c>
    </row>
    <row r="113" spans="1:11" x14ac:dyDescent="0.3">
      <c r="A113">
        <v>1111</v>
      </c>
      <c r="B113" s="5">
        <v>46401</v>
      </c>
      <c r="C113" t="s">
        <v>454</v>
      </c>
      <c r="D113" t="s">
        <v>131</v>
      </c>
      <c r="E113" t="s">
        <v>457</v>
      </c>
      <c r="F113">
        <v>43</v>
      </c>
      <c r="G113">
        <v>45</v>
      </c>
      <c r="H113">
        <v>1935</v>
      </c>
      <c r="I113" t="s">
        <v>456</v>
      </c>
      <c r="J113" t="str">
        <f t="shared" si="2"/>
        <v/>
      </c>
      <c r="K113" t="str">
        <f t="shared" si="3"/>
        <v>Standard</v>
      </c>
    </row>
    <row r="114" spans="1:11" x14ac:dyDescent="0.3">
      <c r="A114">
        <v>1112</v>
      </c>
      <c r="B114" s="5">
        <v>46402</v>
      </c>
      <c r="C114" t="s">
        <v>454</v>
      </c>
      <c r="D114" t="s">
        <v>129</v>
      </c>
      <c r="E114" t="s">
        <v>463</v>
      </c>
      <c r="F114">
        <v>22</v>
      </c>
      <c r="G114">
        <v>25</v>
      </c>
      <c r="H114">
        <v>550</v>
      </c>
      <c r="I114" t="s">
        <v>464</v>
      </c>
      <c r="J114" t="str">
        <f t="shared" si="2"/>
        <v/>
      </c>
      <c r="K114" t="str">
        <f t="shared" si="3"/>
        <v>Standard</v>
      </c>
    </row>
    <row r="115" spans="1:11" x14ac:dyDescent="0.3">
      <c r="A115">
        <v>1113</v>
      </c>
      <c r="B115" s="5">
        <v>46403</v>
      </c>
      <c r="C115" t="s">
        <v>466</v>
      </c>
      <c r="D115" t="s">
        <v>129</v>
      </c>
      <c r="E115" t="s">
        <v>459</v>
      </c>
      <c r="F115">
        <v>36</v>
      </c>
      <c r="G115">
        <v>300</v>
      </c>
      <c r="H115">
        <v>10800</v>
      </c>
      <c r="I115" t="s">
        <v>456</v>
      </c>
      <c r="J115" t="str">
        <f t="shared" si="2"/>
        <v/>
      </c>
      <c r="K115" t="str">
        <f t="shared" si="3"/>
        <v>High</v>
      </c>
    </row>
    <row r="116" spans="1:11" x14ac:dyDescent="0.3">
      <c r="A116">
        <v>1114</v>
      </c>
      <c r="B116" s="5">
        <v>46404</v>
      </c>
      <c r="C116" t="s">
        <v>462</v>
      </c>
      <c r="D116" t="s">
        <v>397</v>
      </c>
      <c r="E116" t="s">
        <v>461</v>
      </c>
      <c r="F116">
        <v>19</v>
      </c>
      <c r="G116">
        <v>80</v>
      </c>
      <c r="H116">
        <v>1520</v>
      </c>
      <c r="I116" t="s">
        <v>464</v>
      </c>
      <c r="J116" t="str">
        <f t="shared" si="2"/>
        <v/>
      </c>
      <c r="K116" t="str">
        <f t="shared" si="3"/>
        <v>Standard</v>
      </c>
    </row>
    <row r="117" spans="1:11" x14ac:dyDescent="0.3">
      <c r="A117">
        <v>1115</v>
      </c>
      <c r="B117" s="5">
        <v>46405</v>
      </c>
      <c r="C117" t="s">
        <v>458</v>
      </c>
      <c r="D117" t="s">
        <v>131</v>
      </c>
      <c r="E117" t="s">
        <v>455</v>
      </c>
      <c r="F117">
        <v>16</v>
      </c>
      <c r="G117">
        <v>1200</v>
      </c>
      <c r="H117">
        <v>19200</v>
      </c>
      <c r="I117" t="s">
        <v>456</v>
      </c>
      <c r="J117" t="str">
        <f t="shared" si="2"/>
        <v/>
      </c>
      <c r="K117" t="str">
        <f t="shared" si="3"/>
        <v>High</v>
      </c>
    </row>
    <row r="118" spans="1:11" x14ac:dyDescent="0.3">
      <c r="A118">
        <v>1116</v>
      </c>
      <c r="B118" s="5">
        <v>46406</v>
      </c>
      <c r="C118" t="s">
        <v>454</v>
      </c>
      <c r="D118" t="s">
        <v>129</v>
      </c>
      <c r="E118" t="s">
        <v>457</v>
      </c>
      <c r="F118">
        <v>28</v>
      </c>
      <c r="G118">
        <v>45</v>
      </c>
      <c r="H118">
        <v>1260</v>
      </c>
      <c r="I118" t="s">
        <v>464</v>
      </c>
      <c r="J118" t="str">
        <f t="shared" si="2"/>
        <v/>
      </c>
      <c r="K118" t="str">
        <f t="shared" si="3"/>
        <v>Standard</v>
      </c>
    </row>
    <row r="119" spans="1:11" x14ac:dyDescent="0.3">
      <c r="A119">
        <v>1117</v>
      </c>
      <c r="B119" s="5">
        <v>46407</v>
      </c>
      <c r="C119" t="s">
        <v>465</v>
      </c>
      <c r="D119" t="s">
        <v>129</v>
      </c>
      <c r="E119" t="s">
        <v>461</v>
      </c>
      <c r="F119">
        <v>3</v>
      </c>
      <c r="G119">
        <v>80</v>
      </c>
      <c r="H119">
        <v>240</v>
      </c>
      <c r="I119" t="s">
        <v>456</v>
      </c>
      <c r="J119" t="str">
        <f t="shared" si="2"/>
        <v/>
      </c>
      <c r="K119" t="str">
        <f t="shared" si="3"/>
        <v>Standard</v>
      </c>
    </row>
    <row r="120" spans="1:11" x14ac:dyDescent="0.3">
      <c r="A120">
        <v>1118</v>
      </c>
      <c r="B120" s="5">
        <v>46408</v>
      </c>
      <c r="C120" t="s">
        <v>462</v>
      </c>
      <c r="D120" t="s">
        <v>129</v>
      </c>
      <c r="E120" t="s">
        <v>463</v>
      </c>
      <c r="F120">
        <v>10</v>
      </c>
      <c r="G120">
        <v>25</v>
      </c>
      <c r="H120">
        <v>250</v>
      </c>
      <c r="I120" t="s">
        <v>464</v>
      </c>
      <c r="J120" t="str">
        <f t="shared" si="2"/>
        <v/>
      </c>
      <c r="K120" t="str">
        <f t="shared" si="3"/>
        <v>Standard</v>
      </c>
    </row>
    <row r="121" spans="1:11" x14ac:dyDescent="0.3">
      <c r="A121">
        <v>1119</v>
      </c>
      <c r="B121" s="5">
        <v>46409</v>
      </c>
      <c r="C121" t="s">
        <v>454</v>
      </c>
      <c r="D121" t="s">
        <v>397</v>
      </c>
      <c r="E121" t="s">
        <v>457</v>
      </c>
      <c r="F121">
        <v>28</v>
      </c>
      <c r="G121">
        <v>45</v>
      </c>
      <c r="H121">
        <v>1260</v>
      </c>
      <c r="I121" t="s">
        <v>456</v>
      </c>
      <c r="J121" t="str">
        <f t="shared" si="2"/>
        <v/>
      </c>
      <c r="K121" t="str">
        <f t="shared" si="3"/>
        <v>Standard</v>
      </c>
    </row>
    <row r="122" spans="1:11" x14ac:dyDescent="0.3">
      <c r="A122">
        <v>1120</v>
      </c>
      <c r="B122" s="5">
        <v>46410</v>
      </c>
      <c r="C122" t="s">
        <v>454</v>
      </c>
      <c r="D122" t="s">
        <v>132</v>
      </c>
      <c r="E122" t="s">
        <v>455</v>
      </c>
      <c r="F122">
        <v>14</v>
      </c>
      <c r="G122">
        <v>1200</v>
      </c>
      <c r="H122">
        <v>16800</v>
      </c>
      <c r="I122" t="s">
        <v>456</v>
      </c>
      <c r="J122" t="str">
        <f t="shared" si="2"/>
        <v/>
      </c>
      <c r="K122" t="str">
        <f t="shared" si="3"/>
        <v>High</v>
      </c>
    </row>
    <row r="123" spans="1:11" x14ac:dyDescent="0.3">
      <c r="A123">
        <v>1121</v>
      </c>
      <c r="B123" s="5">
        <v>46411</v>
      </c>
      <c r="C123" t="s">
        <v>466</v>
      </c>
      <c r="D123" t="s">
        <v>131</v>
      </c>
      <c r="E123" t="s">
        <v>457</v>
      </c>
      <c r="F123">
        <v>40</v>
      </c>
      <c r="G123">
        <v>45</v>
      </c>
      <c r="H123">
        <v>1800</v>
      </c>
      <c r="I123" t="s">
        <v>464</v>
      </c>
      <c r="J123" t="str">
        <f t="shared" si="2"/>
        <v/>
      </c>
      <c r="K123" t="str">
        <f t="shared" si="3"/>
        <v>Standard</v>
      </c>
    </row>
    <row r="124" spans="1:11" x14ac:dyDescent="0.3">
      <c r="A124">
        <v>1122</v>
      </c>
      <c r="B124" s="5">
        <v>46412</v>
      </c>
      <c r="C124" t="s">
        <v>454</v>
      </c>
      <c r="D124" t="s">
        <v>131</v>
      </c>
      <c r="E124" t="s">
        <v>461</v>
      </c>
      <c r="F124">
        <v>27</v>
      </c>
      <c r="G124">
        <v>80</v>
      </c>
      <c r="H124">
        <v>2160</v>
      </c>
      <c r="I124" t="s">
        <v>456</v>
      </c>
      <c r="J124" t="str">
        <f t="shared" si="2"/>
        <v/>
      </c>
      <c r="K124" t="str">
        <f t="shared" si="3"/>
        <v>Standard</v>
      </c>
    </row>
    <row r="125" spans="1:11" x14ac:dyDescent="0.3">
      <c r="A125">
        <v>1123</v>
      </c>
      <c r="B125" s="5">
        <v>46413</v>
      </c>
      <c r="C125" t="s">
        <v>462</v>
      </c>
      <c r="D125" t="s">
        <v>397</v>
      </c>
      <c r="E125" t="s">
        <v>461</v>
      </c>
      <c r="F125">
        <v>41</v>
      </c>
      <c r="G125">
        <v>80</v>
      </c>
      <c r="H125">
        <v>3280</v>
      </c>
      <c r="I125" t="s">
        <v>456</v>
      </c>
      <c r="J125" t="str">
        <f t="shared" si="2"/>
        <v/>
      </c>
      <c r="K125" t="str">
        <f t="shared" si="3"/>
        <v>Standard</v>
      </c>
    </row>
    <row r="126" spans="1:11" x14ac:dyDescent="0.3">
      <c r="A126">
        <v>1124</v>
      </c>
      <c r="B126" s="5">
        <v>46414</v>
      </c>
      <c r="C126" t="s">
        <v>466</v>
      </c>
      <c r="D126" t="s">
        <v>397</v>
      </c>
      <c r="E126" t="s">
        <v>455</v>
      </c>
      <c r="F126">
        <v>18</v>
      </c>
      <c r="G126">
        <v>1200</v>
      </c>
      <c r="H126">
        <v>21600</v>
      </c>
      <c r="I126" t="s">
        <v>456</v>
      </c>
      <c r="J126" t="str">
        <f t="shared" si="2"/>
        <v/>
      </c>
      <c r="K126" t="str">
        <f t="shared" si="3"/>
        <v>High</v>
      </c>
    </row>
    <row r="127" spans="1:11" x14ac:dyDescent="0.3">
      <c r="A127">
        <v>1125</v>
      </c>
      <c r="B127" s="5">
        <v>46415</v>
      </c>
      <c r="C127" t="s">
        <v>454</v>
      </c>
      <c r="D127" t="s">
        <v>130</v>
      </c>
      <c r="E127" t="s">
        <v>459</v>
      </c>
      <c r="F127">
        <v>5</v>
      </c>
      <c r="G127">
        <v>300</v>
      </c>
      <c r="H127">
        <v>1500</v>
      </c>
      <c r="I127" t="s">
        <v>456</v>
      </c>
      <c r="J127" t="str">
        <f t="shared" si="2"/>
        <v/>
      </c>
      <c r="K127" t="str">
        <f t="shared" si="3"/>
        <v>Standard</v>
      </c>
    </row>
    <row r="128" spans="1:11" x14ac:dyDescent="0.3">
      <c r="A128">
        <v>1126</v>
      </c>
      <c r="B128" s="5">
        <v>46416</v>
      </c>
      <c r="C128" t="s">
        <v>458</v>
      </c>
      <c r="D128" t="s">
        <v>130</v>
      </c>
      <c r="E128" t="s">
        <v>455</v>
      </c>
      <c r="F128">
        <v>20</v>
      </c>
      <c r="G128">
        <v>1200</v>
      </c>
      <c r="H128">
        <v>24000</v>
      </c>
      <c r="I128" t="s">
        <v>464</v>
      </c>
      <c r="J128" t="str">
        <f t="shared" si="2"/>
        <v/>
      </c>
      <c r="K128" t="str">
        <f t="shared" si="3"/>
        <v>High</v>
      </c>
    </row>
    <row r="129" spans="1:11" x14ac:dyDescent="0.3">
      <c r="A129">
        <v>1127</v>
      </c>
      <c r="B129" s="5">
        <v>46417</v>
      </c>
      <c r="C129" t="s">
        <v>454</v>
      </c>
      <c r="D129" t="s">
        <v>131</v>
      </c>
      <c r="E129" t="s">
        <v>463</v>
      </c>
      <c r="F129">
        <v>29</v>
      </c>
      <c r="G129">
        <v>25</v>
      </c>
      <c r="H129">
        <v>725</v>
      </c>
      <c r="I129" t="s">
        <v>456</v>
      </c>
      <c r="J129" t="str">
        <f t="shared" si="2"/>
        <v/>
      </c>
      <c r="K129" t="str">
        <f t="shared" si="3"/>
        <v>Standard</v>
      </c>
    </row>
    <row r="130" spans="1:11" x14ac:dyDescent="0.3">
      <c r="A130">
        <v>1128</v>
      </c>
      <c r="B130" s="5">
        <v>46418</v>
      </c>
      <c r="C130" t="s">
        <v>466</v>
      </c>
      <c r="D130" t="s">
        <v>129</v>
      </c>
      <c r="E130" t="s">
        <v>461</v>
      </c>
      <c r="F130">
        <v>35</v>
      </c>
      <c r="G130">
        <v>80</v>
      </c>
      <c r="H130">
        <v>2800</v>
      </c>
      <c r="I130" t="s">
        <v>460</v>
      </c>
      <c r="J130" t="str">
        <f t="shared" si="2"/>
        <v>Call</v>
      </c>
      <c r="K130" t="str">
        <f t="shared" si="3"/>
        <v>Standard</v>
      </c>
    </row>
    <row r="131" spans="1:11" x14ac:dyDescent="0.3">
      <c r="A131">
        <v>1129</v>
      </c>
      <c r="B131" s="5">
        <v>46419</v>
      </c>
      <c r="C131" t="s">
        <v>454</v>
      </c>
      <c r="D131" t="s">
        <v>129</v>
      </c>
      <c r="E131" t="s">
        <v>455</v>
      </c>
      <c r="F131">
        <v>3</v>
      </c>
      <c r="G131">
        <v>1200</v>
      </c>
      <c r="H131">
        <v>3600</v>
      </c>
      <c r="I131" t="s">
        <v>456</v>
      </c>
      <c r="J131" t="str">
        <f t="shared" si="2"/>
        <v/>
      </c>
      <c r="K131" t="str">
        <f t="shared" si="3"/>
        <v>Standard</v>
      </c>
    </row>
    <row r="132" spans="1:11" x14ac:dyDescent="0.3">
      <c r="A132">
        <v>1130</v>
      </c>
      <c r="B132" s="5">
        <v>46420</v>
      </c>
      <c r="C132" t="s">
        <v>465</v>
      </c>
      <c r="D132" t="s">
        <v>130</v>
      </c>
      <c r="E132" t="s">
        <v>461</v>
      </c>
      <c r="F132">
        <v>20</v>
      </c>
      <c r="G132">
        <v>80</v>
      </c>
      <c r="H132">
        <v>1600</v>
      </c>
      <c r="I132" t="s">
        <v>456</v>
      </c>
      <c r="J132" t="str">
        <f t="shared" ref="J132:J195" si="4">IF(I132="Pending","Call","")</f>
        <v/>
      </c>
      <c r="K132" t="str">
        <f t="shared" ref="K132:K195" si="5">IF(H132&gt;5000,"High","Standard")</f>
        <v>Standard</v>
      </c>
    </row>
    <row r="133" spans="1:11" x14ac:dyDescent="0.3">
      <c r="A133">
        <v>1131</v>
      </c>
      <c r="B133" s="5">
        <v>46421</v>
      </c>
      <c r="C133" t="s">
        <v>462</v>
      </c>
      <c r="D133" t="s">
        <v>397</v>
      </c>
      <c r="E133" t="s">
        <v>463</v>
      </c>
      <c r="F133">
        <v>47</v>
      </c>
      <c r="G133">
        <v>25</v>
      </c>
      <c r="H133">
        <v>1175</v>
      </c>
      <c r="I133" t="s">
        <v>464</v>
      </c>
      <c r="J133" t="str">
        <f t="shared" si="4"/>
        <v/>
      </c>
      <c r="K133" t="str">
        <f t="shared" si="5"/>
        <v>Standard</v>
      </c>
    </row>
    <row r="134" spans="1:11" x14ac:dyDescent="0.3">
      <c r="A134">
        <v>1132</v>
      </c>
      <c r="B134" s="5">
        <v>46422</v>
      </c>
      <c r="C134" t="s">
        <v>458</v>
      </c>
      <c r="D134" t="s">
        <v>132</v>
      </c>
      <c r="E134" t="s">
        <v>459</v>
      </c>
      <c r="F134">
        <v>46</v>
      </c>
      <c r="G134">
        <v>300</v>
      </c>
      <c r="H134">
        <v>13800</v>
      </c>
      <c r="I134" t="s">
        <v>460</v>
      </c>
      <c r="J134" t="str">
        <f t="shared" si="4"/>
        <v>Call</v>
      </c>
      <c r="K134" t="str">
        <f t="shared" si="5"/>
        <v>High</v>
      </c>
    </row>
    <row r="135" spans="1:11" x14ac:dyDescent="0.3">
      <c r="A135">
        <v>1133</v>
      </c>
      <c r="B135" s="5">
        <v>46423</v>
      </c>
      <c r="C135" t="s">
        <v>462</v>
      </c>
      <c r="D135" t="s">
        <v>129</v>
      </c>
      <c r="E135" t="s">
        <v>463</v>
      </c>
      <c r="F135">
        <v>13</v>
      </c>
      <c r="G135">
        <v>25</v>
      </c>
      <c r="H135">
        <v>325</v>
      </c>
      <c r="I135" t="s">
        <v>456</v>
      </c>
      <c r="J135" t="str">
        <f t="shared" si="4"/>
        <v/>
      </c>
      <c r="K135" t="str">
        <f t="shared" si="5"/>
        <v>Standard</v>
      </c>
    </row>
    <row r="136" spans="1:11" x14ac:dyDescent="0.3">
      <c r="A136">
        <v>1134</v>
      </c>
      <c r="B136" s="5">
        <v>46424</v>
      </c>
      <c r="C136" t="s">
        <v>454</v>
      </c>
      <c r="D136" t="s">
        <v>132</v>
      </c>
      <c r="E136" t="s">
        <v>457</v>
      </c>
      <c r="F136">
        <v>50</v>
      </c>
      <c r="G136">
        <v>45</v>
      </c>
      <c r="H136">
        <v>2250</v>
      </c>
      <c r="I136" t="s">
        <v>456</v>
      </c>
      <c r="J136" t="str">
        <f t="shared" si="4"/>
        <v/>
      </c>
      <c r="K136" t="str">
        <f t="shared" si="5"/>
        <v>Standard</v>
      </c>
    </row>
    <row r="137" spans="1:11" x14ac:dyDescent="0.3">
      <c r="A137">
        <v>1135</v>
      </c>
      <c r="B137" s="5">
        <v>46425</v>
      </c>
      <c r="C137" t="s">
        <v>465</v>
      </c>
      <c r="D137" t="s">
        <v>129</v>
      </c>
      <c r="E137" t="s">
        <v>463</v>
      </c>
      <c r="F137">
        <v>44</v>
      </c>
      <c r="G137">
        <v>25</v>
      </c>
      <c r="H137">
        <v>1100</v>
      </c>
      <c r="I137" t="s">
        <v>456</v>
      </c>
      <c r="J137" t="str">
        <f t="shared" si="4"/>
        <v/>
      </c>
      <c r="K137" t="str">
        <f t="shared" si="5"/>
        <v>Standard</v>
      </c>
    </row>
    <row r="138" spans="1:11" x14ac:dyDescent="0.3">
      <c r="A138">
        <v>1136</v>
      </c>
      <c r="B138" s="5">
        <v>46426</v>
      </c>
      <c r="C138" t="s">
        <v>462</v>
      </c>
      <c r="D138" t="s">
        <v>131</v>
      </c>
      <c r="E138" t="s">
        <v>459</v>
      </c>
      <c r="F138">
        <v>26</v>
      </c>
      <c r="G138">
        <v>300</v>
      </c>
      <c r="H138">
        <v>7800</v>
      </c>
      <c r="I138" t="s">
        <v>464</v>
      </c>
      <c r="J138" t="str">
        <f t="shared" si="4"/>
        <v/>
      </c>
      <c r="K138" t="str">
        <f t="shared" si="5"/>
        <v>High</v>
      </c>
    </row>
    <row r="139" spans="1:11" x14ac:dyDescent="0.3">
      <c r="A139">
        <v>1137</v>
      </c>
      <c r="B139" s="5">
        <v>46427</v>
      </c>
      <c r="C139" t="s">
        <v>462</v>
      </c>
      <c r="D139" t="s">
        <v>130</v>
      </c>
      <c r="E139" t="s">
        <v>459</v>
      </c>
      <c r="F139">
        <v>1</v>
      </c>
      <c r="G139">
        <v>300</v>
      </c>
      <c r="H139">
        <v>300</v>
      </c>
      <c r="I139" t="s">
        <v>456</v>
      </c>
      <c r="J139" t="str">
        <f t="shared" si="4"/>
        <v/>
      </c>
      <c r="K139" t="str">
        <f t="shared" si="5"/>
        <v>Standard</v>
      </c>
    </row>
    <row r="140" spans="1:11" x14ac:dyDescent="0.3">
      <c r="A140">
        <v>1138</v>
      </c>
      <c r="B140" s="5">
        <v>46428</v>
      </c>
      <c r="C140" t="s">
        <v>462</v>
      </c>
      <c r="D140" t="s">
        <v>132</v>
      </c>
      <c r="E140" t="s">
        <v>463</v>
      </c>
      <c r="F140">
        <v>16</v>
      </c>
      <c r="G140">
        <v>25</v>
      </c>
      <c r="H140">
        <v>400</v>
      </c>
      <c r="I140" t="s">
        <v>456</v>
      </c>
      <c r="J140" t="str">
        <f t="shared" si="4"/>
        <v/>
      </c>
      <c r="K140" t="str">
        <f t="shared" si="5"/>
        <v>Standard</v>
      </c>
    </row>
    <row r="141" spans="1:11" x14ac:dyDescent="0.3">
      <c r="A141">
        <v>1139</v>
      </c>
      <c r="B141" s="5">
        <v>46429</v>
      </c>
      <c r="C141" t="s">
        <v>465</v>
      </c>
      <c r="D141" t="s">
        <v>129</v>
      </c>
      <c r="E141" t="s">
        <v>463</v>
      </c>
      <c r="F141">
        <v>20</v>
      </c>
      <c r="G141">
        <v>25</v>
      </c>
      <c r="H141">
        <v>500</v>
      </c>
      <c r="I141" t="s">
        <v>456</v>
      </c>
      <c r="J141" t="str">
        <f t="shared" si="4"/>
        <v/>
      </c>
      <c r="K141" t="str">
        <f t="shared" si="5"/>
        <v>Standard</v>
      </c>
    </row>
    <row r="142" spans="1:11" x14ac:dyDescent="0.3">
      <c r="A142">
        <v>1140</v>
      </c>
      <c r="B142" s="5">
        <v>46430</v>
      </c>
      <c r="C142" t="s">
        <v>466</v>
      </c>
      <c r="D142" t="s">
        <v>132</v>
      </c>
      <c r="E142" t="s">
        <v>461</v>
      </c>
      <c r="F142">
        <v>7</v>
      </c>
      <c r="G142">
        <v>80</v>
      </c>
      <c r="H142">
        <v>560</v>
      </c>
      <c r="I142" t="s">
        <v>464</v>
      </c>
      <c r="J142" t="str">
        <f t="shared" si="4"/>
        <v/>
      </c>
      <c r="K142" t="str">
        <f t="shared" si="5"/>
        <v>Standard</v>
      </c>
    </row>
    <row r="143" spans="1:11" x14ac:dyDescent="0.3">
      <c r="A143">
        <v>1141</v>
      </c>
      <c r="B143" s="5">
        <v>46431</v>
      </c>
      <c r="C143" t="s">
        <v>458</v>
      </c>
      <c r="D143" t="s">
        <v>131</v>
      </c>
      <c r="E143" t="s">
        <v>459</v>
      </c>
      <c r="F143">
        <v>7</v>
      </c>
      <c r="G143">
        <v>300</v>
      </c>
      <c r="H143">
        <v>2100</v>
      </c>
      <c r="I143" t="s">
        <v>460</v>
      </c>
      <c r="J143" t="str">
        <f t="shared" si="4"/>
        <v>Call</v>
      </c>
      <c r="K143" t="str">
        <f t="shared" si="5"/>
        <v>Standard</v>
      </c>
    </row>
    <row r="144" spans="1:11" x14ac:dyDescent="0.3">
      <c r="A144">
        <v>1142</v>
      </c>
      <c r="B144" s="5">
        <v>46432</v>
      </c>
      <c r="C144" t="s">
        <v>454</v>
      </c>
      <c r="D144" t="s">
        <v>132</v>
      </c>
      <c r="E144" t="s">
        <v>455</v>
      </c>
      <c r="F144">
        <v>3</v>
      </c>
      <c r="G144">
        <v>1200</v>
      </c>
      <c r="H144">
        <v>3600</v>
      </c>
      <c r="I144" t="s">
        <v>464</v>
      </c>
      <c r="J144" t="str">
        <f t="shared" si="4"/>
        <v/>
      </c>
      <c r="K144" t="str">
        <f t="shared" si="5"/>
        <v>Standard</v>
      </c>
    </row>
    <row r="145" spans="1:11" x14ac:dyDescent="0.3">
      <c r="A145">
        <v>1143</v>
      </c>
      <c r="B145" s="5">
        <v>46433</v>
      </c>
      <c r="C145" t="s">
        <v>462</v>
      </c>
      <c r="D145" t="s">
        <v>132</v>
      </c>
      <c r="E145" t="s">
        <v>463</v>
      </c>
      <c r="F145">
        <v>5</v>
      </c>
      <c r="G145">
        <v>25</v>
      </c>
      <c r="H145">
        <v>125</v>
      </c>
      <c r="I145" t="s">
        <v>464</v>
      </c>
      <c r="J145" t="str">
        <f t="shared" si="4"/>
        <v/>
      </c>
      <c r="K145" t="str">
        <f t="shared" si="5"/>
        <v>Standard</v>
      </c>
    </row>
    <row r="146" spans="1:11" x14ac:dyDescent="0.3">
      <c r="A146">
        <v>1144</v>
      </c>
      <c r="B146" s="5">
        <v>46434</v>
      </c>
      <c r="C146" t="s">
        <v>466</v>
      </c>
      <c r="D146" t="s">
        <v>131</v>
      </c>
      <c r="E146" t="s">
        <v>455</v>
      </c>
      <c r="F146">
        <v>47</v>
      </c>
      <c r="G146">
        <v>1200</v>
      </c>
      <c r="H146">
        <v>56400</v>
      </c>
      <c r="I146" t="s">
        <v>456</v>
      </c>
      <c r="J146" t="str">
        <f t="shared" si="4"/>
        <v/>
      </c>
      <c r="K146" t="str">
        <f t="shared" si="5"/>
        <v>High</v>
      </c>
    </row>
    <row r="147" spans="1:11" x14ac:dyDescent="0.3">
      <c r="A147">
        <v>1145</v>
      </c>
      <c r="B147" s="5">
        <v>46435</v>
      </c>
      <c r="C147" t="s">
        <v>458</v>
      </c>
      <c r="D147" t="s">
        <v>129</v>
      </c>
      <c r="E147" t="s">
        <v>455</v>
      </c>
      <c r="F147">
        <v>29</v>
      </c>
      <c r="G147">
        <v>1200</v>
      </c>
      <c r="H147">
        <v>34800</v>
      </c>
      <c r="I147" t="s">
        <v>464</v>
      </c>
      <c r="J147" t="str">
        <f t="shared" si="4"/>
        <v/>
      </c>
      <c r="K147" t="str">
        <f t="shared" si="5"/>
        <v>High</v>
      </c>
    </row>
    <row r="148" spans="1:11" x14ac:dyDescent="0.3">
      <c r="A148">
        <v>1146</v>
      </c>
      <c r="B148" s="5">
        <v>46436</v>
      </c>
      <c r="C148" t="s">
        <v>465</v>
      </c>
      <c r="D148" t="s">
        <v>132</v>
      </c>
      <c r="E148" t="s">
        <v>455</v>
      </c>
      <c r="F148">
        <v>20</v>
      </c>
      <c r="G148">
        <v>1200</v>
      </c>
      <c r="H148">
        <v>24000</v>
      </c>
      <c r="I148" t="s">
        <v>456</v>
      </c>
      <c r="J148" t="str">
        <f t="shared" si="4"/>
        <v/>
      </c>
      <c r="K148" t="str">
        <f t="shared" si="5"/>
        <v>High</v>
      </c>
    </row>
    <row r="149" spans="1:11" x14ac:dyDescent="0.3">
      <c r="A149">
        <v>1147</v>
      </c>
      <c r="B149" s="5">
        <v>46437</v>
      </c>
      <c r="C149" t="s">
        <v>454</v>
      </c>
      <c r="D149" t="s">
        <v>130</v>
      </c>
      <c r="E149" t="s">
        <v>457</v>
      </c>
      <c r="F149">
        <v>6</v>
      </c>
      <c r="G149">
        <v>45</v>
      </c>
      <c r="H149">
        <v>270</v>
      </c>
      <c r="I149" t="s">
        <v>464</v>
      </c>
      <c r="J149" t="str">
        <f t="shared" si="4"/>
        <v/>
      </c>
      <c r="K149" t="str">
        <f t="shared" si="5"/>
        <v>Standard</v>
      </c>
    </row>
    <row r="150" spans="1:11" x14ac:dyDescent="0.3">
      <c r="A150">
        <v>1148</v>
      </c>
      <c r="B150" s="5">
        <v>46438</v>
      </c>
      <c r="C150" t="s">
        <v>462</v>
      </c>
      <c r="D150" t="s">
        <v>129</v>
      </c>
      <c r="E150" t="s">
        <v>455</v>
      </c>
      <c r="F150">
        <v>37</v>
      </c>
      <c r="G150">
        <v>1200</v>
      </c>
      <c r="H150">
        <v>44400</v>
      </c>
      <c r="I150" t="s">
        <v>456</v>
      </c>
      <c r="J150" t="str">
        <f t="shared" si="4"/>
        <v/>
      </c>
      <c r="K150" t="str">
        <f t="shared" si="5"/>
        <v>High</v>
      </c>
    </row>
    <row r="151" spans="1:11" x14ac:dyDescent="0.3">
      <c r="A151">
        <v>1149</v>
      </c>
      <c r="B151" s="5">
        <v>46439</v>
      </c>
      <c r="C151" t="s">
        <v>465</v>
      </c>
      <c r="D151" t="s">
        <v>129</v>
      </c>
      <c r="E151" t="s">
        <v>459</v>
      </c>
      <c r="F151">
        <v>24</v>
      </c>
      <c r="G151">
        <v>300</v>
      </c>
      <c r="H151">
        <v>7200</v>
      </c>
      <c r="I151" t="s">
        <v>456</v>
      </c>
      <c r="J151" t="str">
        <f t="shared" si="4"/>
        <v/>
      </c>
      <c r="K151" t="str">
        <f t="shared" si="5"/>
        <v>High</v>
      </c>
    </row>
    <row r="152" spans="1:11" x14ac:dyDescent="0.3">
      <c r="A152">
        <v>1150</v>
      </c>
      <c r="B152" s="5">
        <v>46440</v>
      </c>
      <c r="C152" t="s">
        <v>454</v>
      </c>
      <c r="D152" t="s">
        <v>131</v>
      </c>
      <c r="E152" t="s">
        <v>461</v>
      </c>
      <c r="F152">
        <v>21</v>
      </c>
      <c r="G152">
        <v>80</v>
      </c>
      <c r="H152">
        <v>1680</v>
      </c>
      <c r="I152" t="s">
        <v>456</v>
      </c>
      <c r="J152" t="str">
        <f t="shared" si="4"/>
        <v/>
      </c>
      <c r="K152" t="str">
        <f t="shared" si="5"/>
        <v>Standard</v>
      </c>
    </row>
    <row r="153" spans="1:11" x14ac:dyDescent="0.3">
      <c r="A153">
        <v>1151</v>
      </c>
      <c r="B153" s="5">
        <v>46441</v>
      </c>
      <c r="C153" t="s">
        <v>458</v>
      </c>
      <c r="D153" t="s">
        <v>131</v>
      </c>
      <c r="E153" t="s">
        <v>461</v>
      </c>
      <c r="F153">
        <v>6</v>
      </c>
      <c r="G153">
        <v>80</v>
      </c>
      <c r="H153">
        <v>480</v>
      </c>
      <c r="I153" t="s">
        <v>464</v>
      </c>
      <c r="J153" t="str">
        <f t="shared" si="4"/>
        <v/>
      </c>
      <c r="K153" t="str">
        <f t="shared" si="5"/>
        <v>Standard</v>
      </c>
    </row>
    <row r="154" spans="1:11" x14ac:dyDescent="0.3">
      <c r="A154">
        <v>1152</v>
      </c>
      <c r="B154" s="5">
        <v>46442</v>
      </c>
      <c r="C154" t="s">
        <v>454</v>
      </c>
      <c r="D154" t="s">
        <v>131</v>
      </c>
      <c r="E154" t="s">
        <v>463</v>
      </c>
      <c r="F154">
        <v>13</v>
      </c>
      <c r="G154">
        <v>25</v>
      </c>
      <c r="H154">
        <v>325</v>
      </c>
      <c r="I154" t="s">
        <v>464</v>
      </c>
      <c r="J154" t="str">
        <f t="shared" si="4"/>
        <v/>
      </c>
      <c r="K154" t="str">
        <f t="shared" si="5"/>
        <v>Standard</v>
      </c>
    </row>
    <row r="155" spans="1:11" x14ac:dyDescent="0.3">
      <c r="A155">
        <v>1153</v>
      </c>
      <c r="B155" s="5">
        <v>46443</v>
      </c>
      <c r="C155" t="s">
        <v>458</v>
      </c>
      <c r="D155" t="s">
        <v>130</v>
      </c>
      <c r="E155" t="s">
        <v>457</v>
      </c>
      <c r="F155">
        <v>8</v>
      </c>
      <c r="G155">
        <v>45</v>
      </c>
      <c r="H155">
        <v>360</v>
      </c>
      <c r="I155" t="s">
        <v>456</v>
      </c>
      <c r="J155" t="str">
        <f t="shared" si="4"/>
        <v/>
      </c>
      <c r="K155" t="str">
        <f t="shared" si="5"/>
        <v>Standard</v>
      </c>
    </row>
    <row r="156" spans="1:11" x14ac:dyDescent="0.3">
      <c r="A156">
        <v>1154</v>
      </c>
      <c r="B156" s="5">
        <v>46444</v>
      </c>
      <c r="C156" t="s">
        <v>465</v>
      </c>
      <c r="D156" t="s">
        <v>131</v>
      </c>
      <c r="E156" t="s">
        <v>457</v>
      </c>
      <c r="F156">
        <v>15</v>
      </c>
      <c r="G156">
        <v>45</v>
      </c>
      <c r="H156">
        <v>675</v>
      </c>
      <c r="I156" t="s">
        <v>464</v>
      </c>
      <c r="J156" t="str">
        <f t="shared" si="4"/>
        <v/>
      </c>
      <c r="K156" t="str">
        <f t="shared" si="5"/>
        <v>Standard</v>
      </c>
    </row>
    <row r="157" spans="1:11" x14ac:dyDescent="0.3">
      <c r="A157">
        <v>1155</v>
      </c>
      <c r="B157" s="5">
        <v>46445</v>
      </c>
      <c r="C157" t="s">
        <v>458</v>
      </c>
      <c r="D157" t="s">
        <v>130</v>
      </c>
      <c r="E157" t="s">
        <v>459</v>
      </c>
      <c r="F157">
        <v>5</v>
      </c>
      <c r="G157">
        <v>300</v>
      </c>
      <c r="H157">
        <v>1500</v>
      </c>
      <c r="I157" t="s">
        <v>456</v>
      </c>
      <c r="J157" t="str">
        <f t="shared" si="4"/>
        <v/>
      </c>
      <c r="K157" t="str">
        <f t="shared" si="5"/>
        <v>Standard</v>
      </c>
    </row>
    <row r="158" spans="1:11" x14ac:dyDescent="0.3">
      <c r="A158">
        <v>1156</v>
      </c>
      <c r="B158" s="5">
        <v>46446</v>
      </c>
      <c r="C158" t="s">
        <v>466</v>
      </c>
      <c r="D158" t="s">
        <v>130</v>
      </c>
      <c r="E158" t="s">
        <v>459</v>
      </c>
      <c r="F158">
        <v>29</v>
      </c>
      <c r="G158">
        <v>300</v>
      </c>
      <c r="H158">
        <v>8700</v>
      </c>
      <c r="I158" t="s">
        <v>456</v>
      </c>
      <c r="J158" t="str">
        <f t="shared" si="4"/>
        <v/>
      </c>
      <c r="K158" t="str">
        <f t="shared" si="5"/>
        <v>High</v>
      </c>
    </row>
    <row r="159" spans="1:11" x14ac:dyDescent="0.3">
      <c r="A159">
        <v>1157</v>
      </c>
      <c r="B159" s="5">
        <v>46447</v>
      </c>
      <c r="C159" t="s">
        <v>465</v>
      </c>
      <c r="D159" t="s">
        <v>130</v>
      </c>
      <c r="E159" t="s">
        <v>461</v>
      </c>
      <c r="F159">
        <v>33</v>
      </c>
      <c r="G159">
        <v>80</v>
      </c>
      <c r="H159">
        <v>2640</v>
      </c>
      <c r="I159" t="s">
        <v>456</v>
      </c>
      <c r="J159" t="str">
        <f t="shared" si="4"/>
        <v/>
      </c>
      <c r="K159" t="str">
        <f t="shared" si="5"/>
        <v>Standard</v>
      </c>
    </row>
    <row r="160" spans="1:11" x14ac:dyDescent="0.3">
      <c r="A160">
        <v>1158</v>
      </c>
      <c r="B160" s="5">
        <v>46448</v>
      </c>
      <c r="C160" t="s">
        <v>466</v>
      </c>
      <c r="D160" t="s">
        <v>130</v>
      </c>
      <c r="E160" t="s">
        <v>459</v>
      </c>
      <c r="F160">
        <v>38</v>
      </c>
      <c r="G160">
        <v>300</v>
      </c>
      <c r="H160">
        <v>11400</v>
      </c>
      <c r="I160" t="s">
        <v>456</v>
      </c>
      <c r="J160" t="str">
        <f t="shared" si="4"/>
        <v/>
      </c>
      <c r="K160" t="str">
        <f t="shared" si="5"/>
        <v>High</v>
      </c>
    </row>
    <row r="161" spans="1:11" x14ac:dyDescent="0.3">
      <c r="A161">
        <v>1159</v>
      </c>
      <c r="B161" s="5">
        <v>46449</v>
      </c>
      <c r="C161" t="s">
        <v>458</v>
      </c>
      <c r="D161" t="s">
        <v>132</v>
      </c>
      <c r="E161" t="s">
        <v>459</v>
      </c>
      <c r="F161">
        <v>46</v>
      </c>
      <c r="G161">
        <v>300</v>
      </c>
      <c r="H161">
        <v>13800</v>
      </c>
      <c r="I161" t="s">
        <v>456</v>
      </c>
      <c r="J161" t="str">
        <f t="shared" si="4"/>
        <v/>
      </c>
      <c r="K161" t="str">
        <f t="shared" si="5"/>
        <v>High</v>
      </c>
    </row>
    <row r="162" spans="1:11" x14ac:dyDescent="0.3">
      <c r="A162">
        <v>1160</v>
      </c>
      <c r="B162" s="5">
        <v>46450</v>
      </c>
      <c r="C162" t="s">
        <v>466</v>
      </c>
      <c r="D162" t="s">
        <v>130</v>
      </c>
      <c r="E162" t="s">
        <v>459</v>
      </c>
      <c r="F162">
        <v>14</v>
      </c>
      <c r="G162">
        <v>300</v>
      </c>
      <c r="H162">
        <v>4200</v>
      </c>
      <c r="I162" t="s">
        <v>460</v>
      </c>
      <c r="J162" t="str">
        <f t="shared" si="4"/>
        <v>Call</v>
      </c>
      <c r="K162" t="str">
        <f t="shared" si="5"/>
        <v>Standard</v>
      </c>
    </row>
    <row r="163" spans="1:11" x14ac:dyDescent="0.3">
      <c r="A163">
        <v>1161</v>
      </c>
      <c r="B163" s="5">
        <v>46451</v>
      </c>
      <c r="C163" t="s">
        <v>458</v>
      </c>
      <c r="D163" t="s">
        <v>397</v>
      </c>
      <c r="E163" t="s">
        <v>457</v>
      </c>
      <c r="F163">
        <v>48</v>
      </c>
      <c r="G163">
        <v>45</v>
      </c>
      <c r="H163">
        <v>2160</v>
      </c>
      <c r="I163" t="s">
        <v>456</v>
      </c>
      <c r="J163" t="str">
        <f t="shared" si="4"/>
        <v/>
      </c>
      <c r="K163" t="str">
        <f t="shared" si="5"/>
        <v>Standard</v>
      </c>
    </row>
    <row r="164" spans="1:11" x14ac:dyDescent="0.3">
      <c r="A164">
        <v>1162</v>
      </c>
      <c r="B164" s="5">
        <v>46452</v>
      </c>
      <c r="C164" t="s">
        <v>458</v>
      </c>
      <c r="D164" t="s">
        <v>129</v>
      </c>
      <c r="E164" t="s">
        <v>461</v>
      </c>
      <c r="F164">
        <v>9</v>
      </c>
      <c r="G164">
        <v>80</v>
      </c>
      <c r="H164">
        <v>720</v>
      </c>
      <c r="I164" t="s">
        <v>464</v>
      </c>
      <c r="J164" t="str">
        <f t="shared" si="4"/>
        <v/>
      </c>
      <c r="K164" t="str">
        <f t="shared" si="5"/>
        <v>Standard</v>
      </c>
    </row>
    <row r="165" spans="1:11" x14ac:dyDescent="0.3">
      <c r="A165">
        <v>1163</v>
      </c>
      <c r="B165" s="5">
        <v>46453</v>
      </c>
      <c r="C165" t="s">
        <v>462</v>
      </c>
      <c r="D165" t="s">
        <v>397</v>
      </c>
      <c r="E165" t="s">
        <v>455</v>
      </c>
      <c r="F165">
        <v>41</v>
      </c>
      <c r="G165">
        <v>1200</v>
      </c>
      <c r="H165">
        <v>49200</v>
      </c>
      <c r="I165" t="s">
        <v>456</v>
      </c>
      <c r="J165" t="str">
        <f t="shared" si="4"/>
        <v/>
      </c>
      <c r="K165" t="str">
        <f t="shared" si="5"/>
        <v>High</v>
      </c>
    </row>
    <row r="166" spans="1:11" x14ac:dyDescent="0.3">
      <c r="A166">
        <v>1164</v>
      </c>
      <c r="B166" s="5">
        <v>46454</v>
      </c>
      <c r="C166" t="s">
        <v>458</v>
      </c>
      <c r="D166" t="s">
        <v>397</v>
      </c>
      <c r="E166" t="s">
        <v>455</v>
      </c>
      <c r="F166">
        <v>21</v>
      </c>
      <c r="G166">
        <v>1200</v>
      </c>
      <c r="H166">
        <v>25200</v>
      </c>
      <c r="I166" t="s">
        <v>460</v>
      </c>
      <c r="J166" t="str">
        <f t="shared" si="4"/>
        <v>Call</v>
      </c>
      <c r="K166" t="str">
        <f t="shared" si="5"/>
        <v>High</v>
      </c>
    </row>
    <row r="167" spans="1:11" x14ac:dyDescent="0.3">
      <c r="A167">
        <v>1165</v>
      </c>
      <c r="B167" s="5">
        <v>46455</v>
      </c>
      <c r="C167" t="s">
        <v>465</v>
      </c>
      <c r="D167" t="s">
        <v>132</v>
      </c>
      <c r="E167" t="s">
        <v>455</v>
      </c>
      <c r="F167">
        <v>24</v>
      </c>
      <c r="G167">
        <v>1200</v>
      </c>
      <c r="H167">
        <v>28800</v>
      </c>
      <c r="I167" t="s">
        <v>460</v>
      </c>
      <c r="J167" t="str">
        <f t="shared" si="4"/>
        <v>Call</v>
      </c>
      <c r="K167" t="str">
        <f t="shared" si="5"/>
        <v>High</v>
      </c>
    </row>
    <row r="168" spans="1:11" x14ac:dyDescent="0.3">
      <c r="A168">
        <v>1166</v>
      </c>
      <c r="B168" s="5">
        <v>46456</v>
      </c>
      <c r="C168" t="s">
        <v>458</v>
      </c>
      <c r="D168" t="s">
        <v>129</v>
      </c>
      <c r="E168" t="s">
        <v>455</v>
      </c>
      <c r="F168">
        <v>17</v>
      </c>
      <c r="G168">
        <v>1200</v>
      </c>
      <c r="H168">
        <v>20400</v>
      </c>
      <c r="I168" t="s">
        <v>456</v>
      </c>
      <c r="J168" t="str">
        <f t="shared" si="4"/>
        <v/>
      </c>
      <c r="K168" t="str">
        <f t="shared" si="5"/>
        <v>High</v>
      </c>
    </row>
    <row r="169" spans="1:11" x14ac:dyDescent="0.3">
      <c r="A169">
        <v>1167</v>
      </c>
      <c r="B169" s="5">
        <v>46457</v>
      </c>
      <c r="C169" t="s">
        <v>465</v>
      </c>
      <c r="D169" t="s">
        <v>130</v>
      </c>
      <c r="E169" t="s">
        <v>455</v>
      </c>
      <c r="F169">
        <v>47</v>
      </c>
      <c r="G169">
        <v>1200</v>
      </c>
      <c r="H169">
        <v>56400</v>
      </c>
      <c r="I169" t="s">
        <v>456</v>
      </c>
      <c r="J169" t="str">
        <f t="shared" si="4"/>
        <v/>
      </c>
      <c r="K169" t="str">
        <f t="shared" si="5"/>
        <v>High</v>
      </c>
    </row>
    <row r="170" spans="1:11" x14ac:dyDescent="0.3">
      <c r="A170">
        <v>1168</v>
      </c>
      <c r="B170" s="5">
        <v>46458</v>
      </c>
      <c r="C170" t="s">
        <v>466</v>
      </c>
      <c r="D170" t="s">
        <v>129</v>
      </c>
      <c r="E170" t="s">
        <v>457</v>
      </c>
      <c r="F170">
        <v>40</v>
      </c>
      <c r="G170">
        <v>45</v>
      </c>
      <c r="H170">
        <v>1800</v>
      </c>
      <c r="I170" t="s">
        <v>464</v>
      </c>
      <c r="J170" t="str">
        <f t="shared" si="4"/>
        <v/>
      </c>
      <c r="K170" t="str">
        <f t="shared" si="5"/>
        <v>Standard</v>
      </c>
    </row>
    <row r="171" spans="1:11" x14ac:dyDescent="0.3">
      <c r="A171">
        <v>1169</v>
      </c>
      <c r="B171" s="5">
        <v>46459</v>
      </c>
      <c r="C171" t="s">
        <v>465</v>
      </c>
      <c r="D171" t="s">
        <v>130</v>
      </c>
      <c r="E171" t="s">
        <v>461</v>
      </c>
      <c r="F171">
        <v>17</v>
      </c>
      <c r="G171">
        <v>80</v>
      </c>
      <c r="H171">
        <v>1360</v>
      </c>
      <c r="I171" t="s">
        <v>460</v>
      </c>
      <c r="J171" t="str">
        <f t="shared" si="4"/>
        <v>Call</v>
      </c>
      <c r="K171" t="str">
        <f t="shared" si="5"/>
        <v>Standard</v>
      </c>
    </row>
    <row r="172" spans="1:11" x14ac:dyDescent="0.3">
      <c r="A172">
        <v>1170</v>
      </c>
      <c r="B172" s="5">
        <v>46460</v>
      </c>
      <c r="C172" t="s">
        <v>465</v>
      </c>
      <c r="D172" t="s">
        <v>129</v>
      </c>
      <c r="E172" t="s">
        <v>459</v>
      </c>
      <c r="F172">
        <v>13</v>
      </c>
      <c r="G172">
        <v>300</v>
      </c>
      <c r="H172">
        <v>3900</v>
      </c>
      <c r="I172" t="s">
        <v>464</v>
      </c>
      <c r="J172" t="str">
        <f t="shared" si="4"/>
        <v/>
      </c>
      <c r="K172" t="str">
        <f t="shared" si="5"/>
        <v>Standard</v>
      </c>
    </row>
    <row r="173" spans="1:11" x14ac:dyDescent="0.3">
      <c r="A173">
        <v>1171</v>
      </c>
      <c r="B173" s="5">
        <v>46461</v>
      </c>
      <c r="C173" t="s">
        <v>458</v>
      </c>
      <c r="D173" t="s">
        <v>397</v>
      </c>
      <c r="E173" t="s">
        <v>461</v>
      </c>
      <c r="F173">
        <v>47</v>
      </c>
      <c r="G173">
        <v>80</v>
      </c>
      <c r="H173">
        <v>3760</v>
      </c>
      <c r="I173" t="s">
        <v>460</v>
      </c>
      <c r="J173" t="str">
        <f t="shared" si="4"/>
        <v>Call</v>
      </c>
      <c r="K173" t="str">
        <f t="shared" si="5"/>
        <v>Standard</v>
      </c>
    </row>
    <row r="174" spans="1:11" x14ac:dyDescent="0.3">
      <c r="A174">
        <v>1172</v>
      </c>
      <c r="B174" s="5">
        <v>46462</v>
      </c>
      <c r="C174" t="s">
        <v>462</v>
      </c>
      <c r="D174" t="s">
        <v>129</v>
      </c>
      <c r="E174" t="s">
        <v>457</v>
      </c>
      <c r="F174">
        <v>48</v>
      </c>
      <c r="G174">
        <v>45</v>
      </c>
      <c r="H174">
        <v>2160</v>
      </c>
      <c r="I174" t="s">
        <v>464</v>
      </c>
      <c r="J174" t="str">
        <f t="shared" si="4"/>
        <v/>
      </c>
      <c r="K174" t="str">
        <f t="shared" si="5"/>
        <v>Standard</v>
      </c>
    </row>
    <row r="175" spans="1:11" x14ac:dyDescent="0.3">
      <c r="A175">
        <v>1173</v>
      </c>
      <c r="B175" s="5">
        <v>46463</v>
      </c>
      <c r="C175" t="s">
        <v>462</v>
      </c>
      <c r="D175" t="s">
        <v>397</v>
      </c>
      <c r="E175" t="s">
        <v>455</v>
      </c>
      <c r="F175">
        <v>40</v>
      </c>
      <c r="G175">
        <v>1200</v>
      </c>
      <c r="H175">
        <v>48000</v>
      </c>
      <c r="I175" t="s">
        <v>456</v>
      </c>
      <c r="J175" t="str">
        <f t="shared" si="4"/>
        <v/>
      </c>
      <c r="K175" t="str">
        <f t="shared" si="5"/>
        <v>High</v>
      </c>
    </row>
    <row r="176" spans="1:11" x14ac:dyDescent="0.3">
      <c r="A176">
        <v>1174</v>
      </c>
      <c r="B176" s="5">
        <v>46464</v>
      </c>
      <c r="C176" t="s">
        <v>462</v>
      </c>
      <c r="D176" t="s">
        <v>129</v>
      </c>
      <c r="E176" t="s">
        <v>459</v>
      </c>
      <c r="F176">
        <v>46</v>
      </c>
      <c r="G176">
        <v>300</v>
      </c>
      <c r="H176">
        <v>13800</v>
      </c>
      <c r="I176" t="s">
        <v>456</v>
      </c>
      <c r="J176" t="str">
        <f t="shared" si="4"/>
        <v/>
      </c>
      <c r="K176" t="str">
        <f t="shared" si="5"/>
        <v>High</v>
      </c>
    </row>
    <row r="177" spans="1:11" x14ac:dyDescent="0.3">
      <c r="A177">
        <v>1175</v>
      </c>
      <c r="B177" s="5">
        <v>46465</v>
      </c>
      <c r="C177" t="s">
        <v>458</v>
      </c>
      <c r="D177" t="s">
        <v>130</v>
      </c>
      <c r="E177" t="s">
        <v>457</v>
      </c>
      <c r="F177">
        <v>27</v>
      </c>
      <c r="G177">
        <v>45</v>
      </c>
      <c r="H177">
        <v>1215</v>
      </c>
      <c r="I177" t="s">
        <v>460</v>
      </c>
      <c r="J177" t="str">
        <f t="shared" si="4"/>
        <v>Call</v>
      </c>
      <c r="K177" t="str">
        <f t="shared" si="5"/>
        <v>Standard</v>
      </c>
    </row>
    <row r="178" spans="1:11" x14ac:dyDescent="0.3">
      <c r="A178">
        <v>1176</v>
      </c>
      <c r="B178" s="5">
        <v>46466</v>
      </c>
      <c r="C178" t="s">
        <v>454</v>
      </c>
      <c r="D178" t="s">
        <v>130</v>
      </c>
      <c r="E178" t="s">
        <v>455</v>
      </c>
      <c r="F178">
        <v>6</v>
      </c>
      <c r="G178">
        <v>1200</v>
      </c>
      <c r="H178">
        <v>7200</v>
      </c>
      <c r="I178" t="s">
        <v>456</v>
      </c>
      <c r="J178" t="str">
        <f t="shared" si="4"/>
        <v/>
      </c>
      <c r="K178" t="str">
        <f t="shared" si="5"/>
        <v>High</v>
      </c>
    </row>
    <row r="179" spans="1:11" x14ac:dyDescent="0.3">
      <c r="A179">
        <v>1177</v>
      </c>
      <c r="B179" s="5">
        <v>46467</v>
      </c>
      <c r="C179" t="s">
        <v>454</v>
      </c>
      <c r="D179" t="s">
        <v>129</v>
      </c>
      <c r="E179" t="s">
        <v>461</v>
      </c>
      <c r="F179">
        <v>29</v>
      </c>
      <c r="G179">
        <v>80</v>
      </c>
      <c r="H179">
        <v>2320</v>
      </c>
      <c r="I179" t="s">
        <v>456</v>
      </c>
      <c r="J179" t="str">
        <f t="shared" si="4"/>
        <v/>
      </c>
      <c r="K179" t="str">
        <f t="shared" si="5"/>
        <v>Standard</v>
      </c>
    </row>
    <row r="180" spans="1:11" x14ac:dyDescent="0.3">
      <c r="A180">
        <v>1178</v>
      </c>
      <c r="B180" s="5">
        <v>46468</v>
      </c>
      <c r="C180" t="s">
        <v>466</v>
      </c>
      <c r="D180" t="s">
        <v>129</v>
      </c>
      <c r="E180" t="s">
        <v>461</v>
      </c>
      <c r="F180">
        <v>7</v>
      </c>
      <c r="G180">
        <v>80</v>
      </c>
      <c r="H180">
        <v>560</v>
      </c>
      <c r="I180" t="s">
        <v>456</v>
      </c>
      <c r="J180" t="str">
        <f t="shared" si="4"/>
        <v/>
      </c>
      <c r="K180" t="str">
        <f t="shared" si="5"/>
        <v>Standard</v>
      </c>
    </row>
    <row r="181" spans="1:11" x14ac:dyDescent="0.3">
      <c r="A181">
        <v>1179</v>
      </c>
      <c r="B181" s="5">
        <v>46469</v>
      </c>
      <c r="C181" t="s">
        <v>454</v>
      </c>
      <c r="D181" t="s">
        <v>132</v>
      </c>
      <c r="E181" t="s">
        <v>455</v>
      </c>
      <c r="F181">
        <v>13</v>
      </c>
      <c r="G181">
        <v>1200</v>
      </c>
      <c r="H181">
        <v>15600</v>
      </c>
      <c r="I181" t="s">
        <v>456</v>
      </c>
      <c r="J181" t="str">
        <f t="shared" si="4"/>
        <v/>
      </c>
      <c r="K181" t="str">
        <f t="shared" si="5"/>
        <v>High</v>
      </c>
    </row>
    <row r="182" spans="1:11" x14ac:dyDescent="0.3">
      <c r="A182">
        <v>1180</v>
      </c>
      <c r="B182" s="5">
        <v>46470</v>
      </c>
      <c r="C182" t="s">
        <v>454</v>
      </c>
      <c r="D182" t="s">
        <v>130</v>
      </c>
      <c r="E182" t="s">
        <v>457</v>
      </c>
      <c r="F182">
        <v>44</v>
      </c>
      <c r="G182">
        <v>45</v>
      </c>
      <c r="H182">
        <v>1980</v>
      </c>
      <c r="I182" t="s">
        <v>464</v>
      </c>
      <c r="J182" t="str">
        <f t="shared" si="4"/>
        <v/>
      </c>
      <c r="K182" t="str">
        <f t="shared" si="5"/>
        <v>Standard</v>
      </c>
    </row>
    <row r="183" spans="1:11" x14ac:dyDescent="0.3">
      <c r="A183">
        <v>1181</v>
      </c>
      <c r="B183" s="5">
        <v>46471</v>
      </c>
      <c r="C183" t="s">
        <v>462</v>
      </c>
      <c r="D183" t="s">
        <v>129</v>
      </c>
      <c r="E183" t="s">
        <v>457</v>
      </c>
      <c r="F183">
        <v>18</v>
      </c>
      <c r="G183">
        <v>45</v>
      </c>
      <c r="H183">
        <v>810</v>
      </c>
      <c r="I183" t="s">
        <v>456</v>
      </c>
      <c r="J183" t="str">
        <f t="shared" si="4"/>
        <v/>
      </c>
      <c r="K183" t="str">
        <f t="shared" si="5"/>
        <v>Standard</v>
      </c>
    </row>
    <row r="184" spans="1:11" x14ac:dyDescent="0.3">
      <c r="A184">
        <v>1182</v>
      </c>
      <c r="B184" s="5">
        <v>46472</v>
      </c>
      <c r="C184" t="s">
        <v>454</v>
      </c>
      <c r="D184" t="s">
        <v>130</v>
      </c>
      <c r="E184" t="s">
        <v>461</v>
      </c>
      <c r="F184">
        <v>29</v>
      </c>
      <c r="G184">
        <v>80</v>
      </c>
      <c r="H184">
        <v>2320</v>
      </c>
      <c r="I184" t="s">
        <v>456</v>
      </c>
      <c r="J184" t="str">
        <f t="shared" si="4"/>
        <v/>
      </c>
      <c r="K184" t="str">
        <f t="shared" si="5"/>
        <v>Standard</v>
      </c>
    </row>
    <row r="185" spans="1:11" x14ac:dyDescent="0.3">
      <c r="A185">
        <v>1183</v>
      </c>
      <c r="B185" s="5">
        <v>46473</v>
      </c>
      <c r="C185" t="s">
        <v>462</v>
      </c>
      <c r="D185" t="s">
        <v>397</v>
      </c>
      <c r="E185" t="s">
        <v>457</v>
      </c>
      <c r="F185">
        <v>39</v>
      </c>
      <c r="G185">
        <v>45</v>
      </c>
      <c r="H185">
        <v>1755</v>
      </c>
      <c r="I185" t="s">
        <v>460</v>
      </c>
      <c r="J185" t="str">
        <f t="shared" si="4"/>
        <v>Call</v>
      </c>
      <c r="K185" t="str">
        <f t="shared" si="5"/>
        <v>Standard</v>
      </c>
    </row>
    <row r="186" spans="1:11" x14ac:dyDescent="0.3">
      <c r="A186">
        <v>1184</v>
      </c>
      <c r="B186" s="5">
        <v>46474</v>
      </c>
      <c r="C186" t="s">
        <v>454</v>
      </c>
      <c r="D186" t="s">
        <v>131</v>
      </c>
      <c r="E186" t="s">
        <v>459</v>
      </c>
      <c r="F186">
        <v>45</v>
      </c>
      <c r="G186">
        <v>300</v>
      </c>
      <c r="H186">
        <v>13500</v>
      </c>
      <c r="I186" t="s">
        <v>456</v>
      </c>
      <c r="J186" t="str">
        <f t="shared" si="4"/>
        <v/>
      </c>
      <c r="K186" t="str">
        <f t="shared" si="5"/>
        <v>High</v>
      </c>
    </row>
    <row r="187" spans="1:11" x14ac:dyDescent="0.3">
      <c r="A187">
        <v>1185</v>
      </c>
      <c r="B187" s="5">
        <v>46475</v>
      </c>
      <c r="C187" t="s">
        <v>466</v>
      </c>
      <c r="D187" t="s">
        <v>132</v>
      </c>
      <c r="E187" t="s">
        <v>463</v>
      </c>
      <c r="F187">
        <v>9</v>
      </c>
      <c r="G187">
        <v>25</v>
      </c>
      <c r="H187">
        <v>225</v>
      </c>
      <c r="I187" t="s">
        <v>456</v>
      </c>
      <c r="J187" t="str">
        <f t="shared" si="4"/>
        <v/>
      </c>
      <c r="K187" t="str">
        <f t="shared" si="5"/>
        <v>Standard</v>
      </c>
    </row>
    <row r="188" spans="1:11" x14ac:dyDescent="0.3">
      <c r="A188">
        <v>1186</v>
      </c>
      <c r="B188" s="5">
        <v>46476</v>
      </c>
      <c r="C188" t="s">
        <v>462</v>
      </c>
      <c r="D188" t="s">
        <v>132</v>
      </c>
      <c r="E188" t="s">
        <v>457</v>
      </c>
      <c r="F188">
        <v>13</v>
      </c>
      <c r="G188">
        <v>45</v>
      </c>
      <c r="H188">
        <v>585</v>
      </c>
      <c r="I188" t="s">
        <v>464</v>
      </c>
      <c r="J188" t="str">
        <f t="shared" si="4"/>
        <v/>
      </c>
      <c r="K188" t="str">
        <f t="shared" si="5"/>
        <v>Standard</v>
      </c>
    </row>
    <row r="189" spans="1:11" x14ac:dyDescent="0.3">
      <c r="A189">
        <v>1187</v>
      </c>
      <c r="B189" s="5">
        <v>46477</v>
      </c>
      <c r="C189" t="s">
        <v>462</v>
      </c>
      <c r="D189" t="s">
        <v>129</v>
      </c>
      <c r="E189" t="s">
        <v>455</v>
      </c>
      <c r="F189">
        <v>49</v>
      </c>
      <c r="G189">
        <v>1200</v>
      </c>
      <c r="H189">
        <v>58800</v>
      </c>
      <c r="I189" t="s">
        <v>456</v>
      </c>
      <c r="J189" t="str">
        <f t="shared" si="4"/>
        <v/>
      </c>
      <c r="K189" t="str">
        <f t="shared" si="5"/>
        <v>High</v>
      </c>
    </row>
    <row r="190" spans="1:11" x14ac:dyDescent="0.3">
      <c r="A190">
        <v>1188</v>
      </c>
      <c r="B190" s="5">
        <v>46478</v>
      </c>
      <c r="C190" t="s">
        <v>454</v>
      </c>
      <c r="D190" t="s">
        <v>131</v>
      </c>
      <c r="E190" t="s">
        <v>461</v>
      </c>
      <c r="F190">
        <v>15</v>
      </c>
      <c r="G190">
        <v>80</v>
      </c>
      <c r="H190">
        <v>1200</v>
      </c>
      <c r="I190" t="s">
        <v>456</v>
      </c>
      <c r="J190" t="str">
        <f t="shared" si="4"/>
        <v/>
      </c>
      <c r="K190" t="str">
        <f t="shared" si="5"/>
        <v>Standard</v>
      </c>
    </row>
    <row r="191" spans="1:11" x14ac:dyDescent="0.3">
      <c r="A191">
        <v>1189</v>
      </c>
      <c r="B191" s="5">
        <v>46479</v>
      </c>
      <c r="C191" t="s">
        <v>454</v>
      </c>
      <c r="D191" t="s">
        <v>130</v>
      </c>
      <c r="E191" t="s">
        <v>461</v>
      </c>
      <c r="F191">
        <v>18</v>
      </c>
      <c r="G191">
        <v>80</v>
      </c>
      <c r="H191">
        <v>1440</v>
      </c>
      <c r="I191" t="s">
        <v>456</v>
      </c>
      <c r="J191" t="str">
        <f t="shared" si="4"/>
        <v/>
      </c>
      <c r="K191" t="str">
        <f t="shared" si="5"/>
        <v>Standard</v>
      </c>
    </row>
    <row r="192" spans="1:11" x14ac:dyDescent="0.3">
      <c r="A192">
        <v>1190</v>
      </c>
      <c r="B192" s="5">
        <v>46480</v>
      </c>
      <c r="C192" t="s">
        <v>465</v>
      </c>
      <c r="D192" t="s">
        <v>131</v>
      </c>
      <c r="E192" t="s">
        <v>455</v>
      </c>
      <c r="F192">
        <v>30</v>
      </c>
      <c r="G192">
        <v>1200</v>
      </c>
      <c r="H192">
        <v>36000</v>
      </c>
      <c r="I192" t="s">
        <v>464</v>
      </c>
      <c r="J192" t="str">
        <f t="shared" si="4"/>
        <v/>
      </c>
      <c r="K192" t="str">
        <f t="shared" si="5"/>
        <v>High</v>
      </c>
    </row>
    <row r="193" spans="1:11" x14ac:dyDescent="0.3">
      <c r="A193">
        <v>1191</v>
      </c>
      <c r="B193" s="5">
        <v>46481</v>
      </c>
      <c r="C193" t="s">
        <v>466</v>
      </c>
      <c r="D193" t="s">
        <v>131</v>
      </c>
      <c r="E193" t="s">
        <v>459</v>
      </c>
      <c r="F193">
        <v>4</v>
      </c>
      <c r="G193">
        <v>300</v>
      </c>
      <c r="H193">
        <v>1200</v>
      </c>
      <c r="I193" t="s">
        <v>464</v>
      </c>
      <c r="J193" t="str">
        <f t="shared" si="4"/>
        <v/>
      </c>
      <c r="K193" t="str">
        <f t="shared" si="5"/>
        <v>Standard</v>
      </c>
    </row>
    <row r="194" spans="1:11" x14ac:dyDescent="0.3">
      <c r="A194">
        <v>1192</v>
      </c>
      <c r="B194" s="5">
        <v>46482</v>
      </c>
      <c r="C194" t="s">
        <v>462</v>
      </c>
      <c r="D194" t="s">
        <v>397</v>
      </c>
      <c r="E194" t="s">
        <v>457</v>
      </c>
      <c r="F194">
        <v>33</v>
      </c>
      <c r="G194">
        <v>45</v>
      </c>
      <c r="H194">
        <v>1485</v>
      </c>
      <c r="I194" t="s">
        <v>460</v>
      </c>
      <c r="J194" t="str">
        <f t="shared" si="4"/>
        <v>Call</v>
      </c>
      <c r="K194" t="str">
        <f t="shared" si="5"/>
        <v>Standard</v>
      </c>
    </row>
    <row r="195" spans="1:11" x14ac:dyDescent="0.3">
      <c r="A195">
        <v>1193</v>
      </c>
      <c r="B195" s="5">
        <v>46483</v>
      </c>
      <c r="C195" t="s">
        <v>454</v>
      </c>
      <c r="D195" t="s">
        <v>129</v>
      </c>
      <c r="E195" t="s">
        <v>459</v>
      </c>
      <c r="F195">
        <v>14</v>
      </c>
      <c r="G195">
        <v>300</v>
      </c>
      <c r="H195">
        <v>4200</v>
      </c>
      <c r="I195" t="s">
        <v>456</v>
      </c>
      <c r="J195" t="str">
        <f t="shared" si="4"/>
        <v/>
      </c>
      <c r="K195" t="str">
        <f t="shared" si="5"/>
        <v>Standard</v>
      </c>
    </row>
    <row r="196" spans="1:11" x14ac:dyDescent="0.3">
      <c r="A196">
        <v>1194</v>
      </c>
      <c r="B196" s="5">
        <v>46484</v>
      </c>
      <c r="C196" t="s">
        <v>454</v>
      </c>
      <c r="D196" t="s">
        <v>132</v>
      </c>
      <c r="E196" t="s">
        <v>457</v>
      </c>
      <c r="F196">
        <v>16</v>
      </c>
      <c r="G196">
        <v>45</v>
      </c>
      <c r="H196">
        <v>720</v>
      </c>
      <c r="I196" t="s">
        <v>456</v>
      </c>
      <c r="J196" t="str">
        <f t="shared" ref="J196:J259" si="6">IF(I196="Pending","Call","")</f>
        <v/>
      </c>
      <c r="K196" t="str">
        <f t="shared" ref="K196:K259" si="7">IF(H196&gt;5000,"High","Standard")</f>
        <v>Standard</v>
      </c>
    </row>
    <row r="197" spans="1:11" x14ac:dyDescent="0.3">
      <c r="A197">
        <v>1195</v>
      </c>
      <c r="B197" s="5">
        <v>46485</v>
      </c>
      <c r="C197" t="s">
        <v>458</v>
      </c>
      <c r="D197" t="s">
        <v>130</v>
      </c>
      <c r="E197" t="s">
        <v>461</v>
      </c>
      <c r="F197">
        <v>15</v>
      </c>
      <c r="G197">
        <v>80</v>
      </c>
      <c r="H197">
        <v>1200</v>
      </c>
      <c r="I197" t="s">
        <v>456</v>
      </c>
      <c r="J197" t="str">
        <f t="shared" si="6"/>
        <v/>
      </c>
      <c r="K197" t="str">
        <f t="shared" si="7"/>
        <v>Standard</v>
      </c>
    </row>
    <row r="198" spans="1:11" x14ac:dyDescent="0.3">
      <c r="A198">
        <v>1196</v>
      </c>
      <c r="B198" s="5">
        <v>46486</v>
      </c>
      <c r="C198" t="s">
        <v>465</v>
      </c>
      <c r="D198" t="s">
        <v>130</v>
      </c>
      <c r="E198" t="s">
        <v>463</v>
      </c>
      <c r="F198">
        <v>40</v>
      </c>
      <c r="G198">
        <v>25</v>
      </c>
      <c r="H198">
        <v>1000</v>
      </c>
      <c r="I198" t="s">
        <v>460</v>
      </c>
      <c r="J198" t="str">
        <f t="shared" si="6"/>
        <v>Call</v>
      </c>
      <c r="K198" t="str">
        <f t="shared" si="7"/>
        <v>Standard</v>
      </c>
    </row>
    <row r="199" spans="1:11" x14ac:dyDescent="0.3">
      <c r="A199">
        <v>1197</v>
      </c>
      <c r="B199" s="5">
        <v>46487</v>
      </c>
      <c r="C199" t="s">
        <v>462</v>
      </c>
      <c r="D199" t="s">
        <v>131</v>
      </c>
      <c r="E199" t="s">
        <v>461</v>
      </c>
      <c r="F199">
        <v>16</v>
      </c>
      <c r="G199">
        <v>80</v>
      </c>
      <c r="H199">
        <v>1280</v>
      </c>
      <c r="I199" t="s">
        <v>456</v>
      </c>
      <c r="J199" t="str">
        <f t="shared" si="6"/>
        <v/>
      </c>
      <c r="K199" t="str">
        <f t="shared" si="7"/>
        <v>Standard</v>
      </c>
    </row>
    <row r="200" spans="1:11" x14ac:dyDescent="0.3">
      <c r="A200">
        <v>1198</v>
      </c>
      <c r="B200" s="5">
        <v>46488</v>
      </c>
      <c r="C200" t="s">
        <v>454</v>
      </c>
      <c r="D200" t="s">
        <v>132</v>
      </c>
      <c r="E200" t="s">
        <v>459</v>
      </c>
      <c r="F200">
        <v>32</v>
      </c>
      <c r="G200">
        <v>300</v>
      </c>
      <c r="H200">
        <v>9600</v>
      </c>
      <c r="I200" t="s">
        <v>456</v>
      </c>
      <c r="J200" t="str">
        <f t="shared" si="6"/>
        <v/>
      </c>
      <c r="K200" t="str">
        <f t="shared" si="7"/>
        <v>High</v>
      </c>
    </row>
    <row r="201" spans="1:11" x14ac:dyDescent="0.3">
      <c r="A201">
        <v>1199</v>
      </c>
      <c r="B201" s="5">
        <v>46489</v>
      </c>
      <c r="C201" t="s">
        <v>454</v>
      </c>
      <c r="D201" t="s">
        <v>132</v>
      </c>
      <c r="E201" t="s">
        <v>455</v>
      </c>
      <c r="F201">
        <v>7</v>
      </c>
      <c r="G201">
        <v>1200</v>
      </c>
      <c r="H201">
        <v>8400</v>
      </c>
      <c r="I201" t="s">
        <v>456</v>
      </c>
      <c r="J201" t="str">
        <f t="shared" si="6"/>
        <v/>
      </c>
      <c r="K201" t="str">
        <f t="shared" si="7"/>
        <v>High</v>
      </c>
    </row>
    <row r="202" spans="1:11" x14ac:dyDescent="0.3">
      <c r="A202">
        <v>1200</v>
      </c>
      <c r="B202" s="5">
        <v>46490</v>
      </c>
      <c r="C202" t="s">
        <v>458</v>
      </c>
      <c r="D202" t="s">
        <v>130</v>
      </c>
      <c r="E202" t="s">
        <v>463</v>
      </c>
      <c r="F202">
        <v>28</v>
      </c>
      <c r="G202">
        <v>25</v>
      </c>
      <c r="H202">
        <v>700</v>
      </c>
      <c r="I202" t="s">
        <v>464</v>
      </c>
      <c r="J202" t="str">
        <f t="shared" si="6"/>
        <v/>
      </c>
      <c r="K202" t="str">
        <f t="shared" si="7"/>
        <v>Standard</v>
      </c>
    </row>
    <row r="203" spans="1:11" x14ac:dyDescent="0.3">
      <c r="A203">
        <v>1201</v>
      </c>
      <c r="B203" s="5">
        <v>46491</v>
      </c>
      <c r="C203" t="s">
        <v>465</v>
      </c>
      <c r="D203" t="s">
        <v>132</v>
      </c>
      <c r="E203" t="s">
        <v>459</v>
      </c>
      <c r="F203">
        <v>9</v>
      </c>
      <c r="G203">
        <v>300</v>
      </c>
      <c r="H203">
        <v>2700</v>
      </c>
      <c r="I203" t="s">
        <v>464</v>
      </c>
      <c r="J203" t="str">
        <f t="shared" si="6"/>
        <v/>
      </c>
      <c r="K203" t="str">
        <f t="shared" si="7"/>
        <v>Standard</v>
      </c>
    </row>
    <row r="204" spans="1:11" x14ac:dyDescent="0.3">
      <c r="A204">
        <v>1202</v>
      </c>
      <c r="B204" s="5">
        <v>46492</v>
      </c>
      <c r="C204" t="s">
        <v>466</v>
      </c>
      <c r="D204" t="s">
        <v>131</v>
      </c>
      <c r="E204" t="s">
        <v>461</v>
      </c>
      <c r="F204">
        <v>38</v>
      </c>
      <c r="G204">
        <v>80</v>
      </c>
      <c r="H204">
        <v>3040</v>
      </c>
      <c r="I204" t="s">
        <v>460</v>
      </c>
      <c r="J204" t="str">
        <f t="shared" si="6"/>
        <v>Call</v>
      </c>
      <c r="K204" t="str">
        <f t="shared" si="7"/>
        <v>Standard</v>
      </c>
    </row>
    <row r="205" spans="1:11" x14ac:dyDescent="0.3">
      <c r="A205">
        <v>1203</v>
      </c>
      <c r="B205" s="5">
        <v>46493</v>
      </c>
      <c r="C205" t="s">
        <v>458</v>
      </c>
      <c r="D205" t="s">
        <v>129</v>
      </c>
      <c r="E205" t="s">
        <v>457</v>
      </c>
      <c r="F205">
        <v>42</v>
      </c>
      <c r="G205">
        <v>45</v>
      </c>
      <c r="H205">
        <v>1890</v>
      </c>
      <c r="I205" t="s">
        <v>456</v>
      </c>
      <c r="J205" t="str">
        <f t="shared" si="6"/>
        <v/>
      </c>
      <c r="K205" t="str">
        <f t="shared" si="7"/>
        <v>Standard</v>
      </c>
    </row>
    <row r="206" spans="1:11" x14ac:dyDescent="0.3">
      <c r="A206">
        <v>1204</v>
      </c>
      <c r="B206" s="5">
        <v>46494</v>
      </c>
      <c r="C206" t="s">
        <v>465</v>
      </c>
      <c r="D206" t="s">
        <v>130</v>
      </c>
      <c r="E206" t="s">
        <v>457</v>
      </c>
      <c r="F206">
        <v>40</v>
      </c>
      <c r="G206">
        <v>45</v>
      </c>
      <c r="H206">
        <v>1800</v>
      </c>
      <c r="I206" t="s">
        <v>456</v>
      </c>
      <c r="J206" t="str">
        <f t="shared" si="6"/>
        <v/>
      </c>
      <c r="K206" t="str">
        <f t="shared" si="7"/>
        <v>Standard</v>
      </c>
    </row>
    <row r="207" spans="1:11" x14ac:dyDescent="0.3">
      <c r="A207">
        <v>1205</v>
      </c>
      <c r="B207" s="5">
        <v>46495</v>
      </c>
      <c r="C207" t="s">
        <v>462</v>
      </c>
      <c r="D207" t="s">
        <v>397</v>
      </c>
      <c r="E207" t="s">
        <v>457</v>
      </c>
      <c r="F207">
        <v>16</v>
      </c>
      <c r="G207">
        <v>45</v>
      </c>
      <c r="H207">
        <v>720</v>
      </c>
      <c r="I207" t="s">
        <v>460</v>
      </c>
      <c r="J207" t="str">
        <f t="shared" si="6"/>
        <v>Call</v>
      </c>
      <c r="K207" t="str">
        <f t="shared" si="7"/>
        <v>Standard</v>
      </c>
    </row>
    <row r="208" spans="1:11" x14ac:dyDescent="0.3">
      <c r="A208">
        <v>1206</v>
      </c>
      <c r="B208" s="5">
        <v>46496</v>
      </c>
      <c r="C208" t="s">
        <v>458</v>
      </c>
      <c r="D208" t="s">
        <v>132</v>
      </c>
      <c r="E208" t="s">
        <v>457</v>
      </c>
      <c r="F208">
        <v>3</v>
      </c>
      <c r="G208">
        <v>45</v>
      </c>
      <c r="H208">
        <v>135</v>
      </c>
      <c r="I208" t="s">
        <v>456</v>
      </c>
      <c r="J208" t="str">
        <f t="shared" si="6"/>
        <v/>
      </c>
      <c r="K208" t="str">
        <f t="shared" si="7"/>
        <v>Standard</v>
      </c>
    </row>
    <row r="209" spans="1:11" x14ac:dyDescent="0.3">
      <c r="A209">
        <v>1207</v>
      </c>
      <c r="B209" s="5">
        <v>46497</v>
      </c>
      <c r="C209" t="s">
        <v>454</v>
      </c>
      <c r="D209" t="s">
        <v>132</v>
      </c>
      <c r="E209" t="s">
        <v>457</v>
      </c>
      <c r="F209">
        <v>35</v>
      </c>
      <c r="G209">
        <v>45</v>
      </c>
      <c r="H209">
        <v>1575</v>
      </c>
      <c r="I209" t="s">
        <v>456</v>
      </c>
      <c r="J209" t="str">
        <f t="shared" si="6"/>
        <v/>
      </c>
      <c r="K209" t="str">
        <f t="shared" si="7"/>
        <v>Standard</v>
      </c>
    </row>
    <row r="210" spans="1:11" x14ac:dyDescent="0.3">
      <c r="A210">
        <v>1208</v>
      </c>
      <c r="B210" s="5">
        <v>46498</v>
      </c>
      <c r="C210" t="s">
        <v>462</v>
      </c>
      <c r="D210" t="s">
        <v>130</v>
      </c>
      <c r="E210" t="s">
        <v>457</v>
      </c>
      <c r="F210">
        <v>36</v>
      </c>
      <c r="G210">
        <v>45</v>
      </c>
      <c r="H210">
        <v>1620</v>
      </c>
      <c r="I210" t="s">
        <v>456</v>
      </c>
      <c r="J210" t="str">
        <f t="shared" si="6"/>
        <v/>
      </c>
      <c r="K210" t="str">
        <f t="shared" si="7"/>
        <v>Standard</v>
      </c>
    </row>
    <row r="211" spans="1:11" x14ac:dyDescent="0.3">
      <c r="A211">
        <v>1209</v>
      </c>
      <c r="B211" s="5">
        <v>46499</v>
      </c>
      <c r="C211" t="s">
        <v>458</v>
      </c>
      <c r="D211" t="s">
        <v>132</v>
      </c>
      <c r="E211" t="s">
        <v>455</v>
      </c>
      <c r="F211">
        <v>6</v>
      </c>
      <c r="G211">
        <v>1200</v>
      </c>
      <c r="H211">
        <v>7200</v>
      </c>
      <c r="I211" t="s">
        <v>464</v>
      </c>
      <c r="J211" t="str">
        <f t="shared" si="6"/>
        <v/>
      </c>
      <c r="K211" t="str">
        <f t="shared" si="7"/>
        <v>High</v>
      </c>
    </row>
    <row r="212" spans="1:11" x14ac:dyDescent="0.3">
      <c r="A212">
        <v>1210</v>
      </c>
      <c r="B212" s="5">
        <v>46500</v>
      </c>
      <c r="C212" t="s">
        <v>454</v>
      </c>
      <c r="D212" t="s">
        <v>130</v>
      </c>
      <c r="E212" t="s">
        <v>457</v>
      </c>
      <c r="F212">
        <v>24</v>
      </c>
      <c r="G212">
        <v>45</v>
      </c>
      <c r="H212">
        <v>1080</v>
      </c>
      <c r="I212" t="s">
        <v>456</v>
      </c>
      <c r="J212" t="str">
        <f t="shared" si="6"/>
        <v/>
      </c>
      <c r="K212" t="str">
        <f t="shared" si="7"/>
        <v>Standard</v>
      </c>
    </row>
    <row r="213" spans="1:11" x14ac:dyDescent="0.3">
      <c r="A213">
        <v>1211</v>
      </c>
      <c r="B213" s="5">
        <v>46501</v>
      </c>
      <c r="C213" t="s">
        <v>454</v>
      </c>
      <c r="D213" t="s">
        <v>130</v>
      </c>
      <c r="E213" t="s">
        <v>463</v>
      </c>
      <c r="F213">
        <v>1</v>
      </c>
      <c r="G213">
        <v>25</v>
      </c>
      <c r="H213">
        <v>25</v>
      </c>
      <c r="I213" t="s">
        <v>456</v>
      </c>
      <c r="J213" t="str">
        <f t="shared" si="6"/>
        <v/>
      </c>
      <c r="K213" t="str">
        <f t="shared" si="7"/>
        <v>Standard</v>
      </c>
    </row>
    <row r="214" spans="1:11" x14ac:dyDescent="0.3">
      <c r="A214">
        <v>1212</v>
      </c>
      <c r="B214" s="5">
        <v>46502</v>
      </c>
      <c r="C214" t="s">
        <v>462</v>
      </c>
      <c r="D214" t="s">
        <v>132</v>
      </c>
      <c r="E214" t="s">
        <v>455</v>
      </c>
      <c r="F214">
        <v>25</v>
      </c>
      <c r="G214">
        <v>1200</v>
      </c>
      <c r="H214">
        <v>30000</v>
      </c>
      <c r="I214" t="s">
        <v>464</v>
      </c>
      <c r="J214" t="str">
        <f t="shared" si="6"/>
        <v/>
      </c>
      <c r="K214" t="str">
        <f t="shared" si="7"/>
        <v>High</v>
      </c>
    </row>
    <row r="215" spans="1:11" x14ac:dyDescent="0.3">
      <c r="A215">
        <v>1213</v>
      </c>
      <c r="B215" s="5">
        <v>46503</v>
      </c>
      <c r="C215" t="s">
        <v>465</v>
      </c>
      <c r="D215" t="s">
        <v>131</v>
      </c>
      <c r="E215" t="s">
        <v>457</v>
      </c>
      <c r="F215">
        <v>8</v>
      </c>
      <c r="G215">
        <v>45</v>
      </c>
      <c r="H215">
        <v>360</v>
      </c>
      <c r="I215" t="s">
        <v>456</v>
      </c>
      <c r="J215" t="str">
        <f t="shared" si="6"/>
        <v/>
      </c>
      <c r="K215" t="str">
        <f t="shared" si="7"/>
        <v>Standard</v>
      </c>
    </row>
    <row r="216" spans="1:11" x14ac:dyDescent="0.3">
      <c r="A216">
        <v>1214</v>
      </c>
      <c r="B216" s="5">
        <v>46504</v>
      </c>
      <c r="C216" t="s">
        <v>458</v>
      </c>
      <c r="D216" t="s">
        <v>132</v>
      </c>
      <c r="E216" t="s">
        <v>463</v>
      </c>
      <c r="F216">
        <v>3</v>
      </c>
      <c r="G216">
        <v>25</v>
      </c>
      <c r="H216">
        <v>75</v>
      </c>
      <c r="I216" t="s">
        <v>456</v>
      </c>
      <c r="J216" t="str">
        <f t="shared" si="6"/>
        <v/>
      </c>
      <c r="K216" t="str">
        <f t="shared" si="7"/>
        <v>Standard</v>
      </c>
    </row>
    <row r="217" spans="1:11" x14ac:dyDescent="0.3">
      <c r="A217">
        <v>1215</v>
      </c>
      <c r="B217" s="5">
        <v>46505</v>
      </c>
      <c r="C217" t="s">
        <v>462</v>
      </c>
      <c r="D217" t="s">
        <v>397</v>
      </c>
      <c r="E217" t="s">
        <v>461</v>
      </c>
      <c r="F217">
        <v>21</v>
      </c>
      <c r="G217">
        <v>80</v>
      </c>
      <c r="H217">
        <v>1680</v>
      </c>
      <c r="I217" t="s">
        <v>456</v>
      </c>
      <c r="J217" t="str">
        <f t="shared" si="6"/>
        <v/>
      </c>
      <c r="K217" t="str">
        <f t="shared" si="7"/>
        <v>Standard</v>
      </c>
    </row>
    <row r="218" spans="1:11" x14ac:dyDescent="0.3">
      <c r="A218">
        <v>1216</v>
      </c>
      <c r="B218" s="5">
        <v>46506</v>
      </c>
      <c r="C218" t="s">
        <v>465</v>
      </c>
      <c r="D218" t="s">
        <v>130</v>
      </c>
      <c r="E218" t="s">
        <v>459</v>
      </c>
      <c r="F218">
        <v>48</v>
      </c>
      <c r="G218">
        <v>300</v>
      </c>
      <c r="H218">
        <v>14400</v>
      </c>
      <c r="I218" t="s">
        <v>456</v>
      </c>
      <c r="J218" t="str">
        <f t="shared" si="6"/>
        <v/>
      </c>
      <c r="K218" t="str">
        <f t="shared" si="7"/>
        <v>High</v>
      </c>
    </row>
    <row r="219" spans="1:11" x14ac:dyDescent="0.3">
      <c r="A219">
        <v>1217</v>
      </c>
      <c r="B219" s="5">
        <v>46507</v>
      </c>
      <c r="C219" t="s">
        <v>466</v>
      </c>
      <c r="D219" t="s">
        <v>129</v>
      </c>
      <c r="E219" t="s">
        <v>455</v>
      </c>
      <c r="F219">
        <v>12</v>
      </c>
      <c r="G219">
        <v>1200</v>
      </c>
      <c r="H219">
        <v>14400</v>
      </c>
      <c r="I219" t="s">
        <v>464</v>
      </c>
      <c r="J219" t="str">
        <f t="shared" si="6"/>
        <v/>
      </c>
      <c r="K219" t="str">
        <f t="shared" si="7"/>
        <v>High</v>
      </c>
    </row>
    <row r="220" spans="1:11" x14ac:dyDescent="0.3">
      <c r="A220">
        <v>1218</v>
      </c>
      <c r="B220" s="5">
        <v>46508</v>
      </c>
      <c r="C220" t="s">
        <v>454</v>
      </c>
      <c r="D220" t="s">
        <v>129</v>
      </c>
      <c r="E220" t="s">
        <v>455</v>
      </c>
      <c r="F220">
        <v>20</v>
      </c>
      <c r="G220">
        <v>1200</v>
      </c>
      <c r="H220">
        <v>24000</v>
      </c>
      <c r="I220" t="s">
        <v>464</v>
      </c>
      <c r="J220" t="str">
        <f t="shared" si="6"/>
        <v/>
      </c>
      <c r="K220" t="str">
        <f t="shared" si="7"/>
        <v>High</v>
      </c>
    </row>
    <row r="221" spans="1:11" x14ac:dyDescent="0.3">
      <c r="A221">
        <v>1219</v>
      </c>
      <c r="B221" s="5">
        <v>46509</v>
      </c>
      <c r="C221" t="s">
        <v>465</v>
      </c>
      <c r="D221" t="s">
        <v>131</v>
      </c>
      <c r="E221" t="s">
        <v>463</v>
      </c>
      <c r="F221">
        <v>11</v>
      </c>
      <c r="G221">
        <v>25</v>
      </c>
      <c r="H221">
        <v>275</v>
      </c>
      <c r="I221" t="s">
        <v>456</v>
      </c>
      <c r="J221" t="str">
        <f t="shared" si="6"/>
        <v/>
      </c>
      <c r="K221" t="str">
        <f t="shared" si="7"/>
        <v>Standard</v>
      </c>
    </row>
    <row r="222" spans="1:11" x14ac:dyDescent="0.3">
      <c r="A222">
        <v>1220</v>
      </c>
      <c r="B222" s="5">
        <v>46510</v>
      </c>
      <c r="C222" t="s">
        <v>465</v>
      </c>
      <c r="D222" t="s">
        <v>132</v>
      </c>
      <c r="E222" t="s">
        <v>455</v>
      </c>
      <c r="F222">
        <v>38</v>
      </c>
      <c r="G222">
        <v>1200</v>
      </c>
      <c r="H222">
        <v>45600</v>
      </c>
      <c r="I222" t="s">
        <v>460</v>
      </c>
      <c r="J222" t="str">
        <f t="shared" si="6"/>
        <v>Call</v>
      </c>
      <c r="K222" t="str">
        <f t="shared" si="7"/>
        <v>High</v>
      </c>
    </row>
    <row r="223" spans="1:11" x14ac:dyDescent="0.3">
      <c r="A223">
        <v>1221</v>
      </c>
      <c r="B223" s="5">
        <v>46511</v>
      </c>
      <c r="C223" t="s">
        <v>465</v>
      </c>
      <c r="D223" t="s">
        <v>131</v>
      </c>
      <c r="E223" t="s">
        <v>459</v>
      </c>
      <c r="F223">
        <v>39</v>
      </c>
      <c r="G223">
        <v>300</v>
      </c>
      <c r="H223">
        <v>11700</v>
      </c>
      <c r="I223" t="s">
        <v>460</v>
      </c>
      <c r="J223" t="str">
        <f t="shared" si="6"/>
        <v>Call</v>
      </c>
      <c r="K223" t="str">
        <f t="shared" si="7"/>
        <v>High</v>
      </c>
    </row>
    <row r="224" spans="1:11" x14ac:dyDescent="0.3">
      <c r="A224">
        <v>1222</v>
      </c>
      <c r="B224" s="5">
        <v>46512</v>
      </c>
      <c r="C224" t="s">
        <v>466</v>
      </c>
      <c r="D224" t="s">
        <v>132</v>
      </c>
      <c r="E224" t="s">
        <v>459</v>
      </c>
      <c r="F224">
        <v>14</v>
      </c>
      <c r="G224">
        <v>300</v>
      </c>
      <c r="H224">
        <v>4200</v>
      </c>
      <c r="I224" t="s">
        <v>456</v>
      </c>
      <c r="J224" t="str">
        <f t="shared" si="6"/>
        <v/>
      </c>
      <c r="K224" t="str">
        <f t="shared" si="7"/>
        <v>Standard</v>
      </c>
    </row>
    <row r="225" spans="1:11" x14ac:dyDescent="0.3">
      <c r="A225">
        <v>1223</v>
      </c>
      <c r="B225" s="5">
        <v>46513</v>
      </c>
      <c r="C225" t="s">
        <v>458</v>
      </c>
      <c r="D225" t="s">
        <v>130</v>
      </c>
      <c r="E225" t="s">
        <v>459</v>
      </c>
      <c r="F225">
        <v>34</v>
      </c>
      <c r="G225">
        <v>300</v>
      </c>
      <c r="H225">
        <v>10200</v>
      </c>
      <c r="I225" t="s">
        <v>464</v>
      </c>
      <c r="J225" t="str">
        <f t="shared" si="6"/>
        <v/>
      </c>
      <c r="K225" t="str">
        <f t="shared" si="7"/>
        <v>High</v>
      </c>
    </row>
    <row r="226" spans="1:11" x14ac:dyDescent="0.3">
      <c r="A226">
        <v>1224</v>
      </c>
      <c r="B226" s="5">
        <v>46514</v>
      </c>
      <c r="C226" t="s">
        <v>454</v>
      </c>
      <c r="D226" t="s">
        <v>132</v>
      </c>
      <c r="E226" t="s">
        <v>461</v>
      </c>
      <c r="F226">
        <v>9</v>
      </c>
      <c r="G226">
        <v>80</v>
      </c>
      <c r="H226">
        <v>720</v>
      </c>
      <c r="I226" t="s">
        <v>456</v>
      </c>
      <c r="J226" t="str">
        <f t="shared" si="6"/>
        <v/>
      </c>
      <c r="K226" t="str">
        <f t="shared" si="7"/>
        <v>Standard</v>
      </c>
    </row>
    <row r="227" spans="1:11" x14ac:dyDescent="0.3">
      <c r="A227">
        <v>1225</v>
      </c>
      <c r="B227" s="5">
        <v>46515</v>
      </c>
      <c r="C227" t="s">
        <v>454</v>
      </c>
      <c r="D227" t="s">
        <v>130</v>
      </c>
      <c r="E227" t="s">
        <v>461</v>
      </c>
      <c r="F227">
        <v>32</v>
      </c>
      <c r="G227">
        <v>80</v>
      </c>
      <c r="H227">
        <v>2560</v>
      </c>
      <c r="I227" t="s">
        <v>464</v>
      </c>
      <c r="J227" t="str">
        <f t="shared" si="6"/>
        <v/>
      </c>
      <c r="K227" t="str">
        <f t="shared" si="7"/>
        <v>Standard</v>
      </c>
    </row>
    <row r="228" spans="1:11" x14ac:dyDescent="0.3">
      <c r="A228">
        <v>1226</v>
      </c>
      <c r="B228" s="5">
        <v>46516</v>
      </c>
      <c r="C228" t="s">
        <v>465</v>
      </c>
      <c r="D228" t="s">
        <v>129</v>
      </c>
      <c r="E228" t="s">
        <v>461</v>
      </c>
      <c r="F228">
        <v>47</v>
      </c>
      <c r="G228">
        <v>80</v>
      </c>
      <c r="H228">
        <v>3760</v>
      </c>
      <c r="I228" t="s">
        <v>456</v>
      </c>
      <c r="J228" t="str">
        <f t="shared" si="6"/>
        <v/>
      </c>
      <c r="K228" t="str">
        <f t="shared" si="7"/>
        <v>Standard</v>
      </c>
    </row>
    <row r="229" spans="1:11" x14ac:dyDescent="0.3">
      <c r="A229">
        <v>1227</v>
      </c>
      <c r="B229" s="5">
        <v>46517</v>
      </c>
      <c r="C229" t="s">
        <v>454</v>
      </c>
      <c r="D229" t="s">
        <v>130</v>
      </c>
      <c r="E229" t="s">
        <v>461</v>
      </c>
      <c r="F229">
        <v>30</v>
      </c>
      <c r="G229">
        <v>80</v>
      </c>
      <c r="H229">
        <v>2400</v>
      </c>
      <c r="I229" t="s">
        <v>456</v>
      </c>
      <c r="J229" t="str">
        <f t="shared" si="6"/>
        <v/>
      </c>
      <c r="K229" t="str">
        <f t="shared" si="7"/>
        <v>Standard</v>
      </c>
    </row>
    <row r="230" spans="1:11" x14ac:dyDescent="0.3">
      <c r="A230">
        <v>1228</v>
      </c>
      <c r="B230" s="5">
        <v>46518</v>
      </c>
      <c r="C230" t="s">
        <v>462</v>
      </c>
      <c r="D230" t="s">
        <v>130</v>
      </c>
      <c r="E230" t="s">
        <v>463</v>
      </c>
      <c r="F230">
        <v>46</v>
      </c>
      <c r="G230">
        <v>25</v>
      </c>
      <c r="H230">
        <v>1150</v>
      </c>
      <c r="I230" t="s">
        <v>456</v>
      </c>
      <c r="J230" t="str">
        <f t="shared" si="6"/>
        <v/>
      </c>
      <c r="K230" t="str">
        <f t="shared" si="7"/>
        <v>Standard</v>
      </c>
    </row>
    <row r="231" spans="1:11" x14ac:dyDescent="0.3">
      <c r="A231">
        <v>1229</v>
      </c>
      <c r="B231" s="5">
        <v>46519</v>
      </c>
      <c r="C231" t="s">
        <v>454</v>
      </c>
      <c r="D231" t="s">
        <v>397</v>
      </c>
      <c r="E231" t="s">
        <v>461</v>
      </c>
      <c r="F231">
        <v>5</v>
      </c>
      <c r="G231">
        <v>80</v>
      </c>
      <c r="H231">
        <v>400</v>
      </c>
      <c r="I231" t="s">
        <v>456</v>
      </c>
      <c r="J231" t="str">
        <f t="shared" si="6"/>
        <v/>
      </c>
      <c r="K231" t="str">
        <f t="shared" si="7"/>
        <v>Standard</v>
      </c>
    </row>
    <row r="232" spans="1:11" x14ac:dyDescent="0.3">
      <c r="A232">
        <v>1230</v>
      </c>
      <c r="B232" s="5">
        <v>46520</v>
      </c>
      <c r="C232" t="s">
        <v>454</v>
      </c>
      <c r="D232" t="s">
        <v>132</v>
      </c>
      <c r="E232" t="s">
        <v>457</v>
      </c>
      <c r="F232">
        <v>40</v>
      </c>
      <c r="G232">
        <v>45</v>
      </c>
      <c r="H232">
        <v>1800</v>
      </c>
      <c r="I232" t="s">
        <v>456</v>
      </c>
      <c r="J232" t="str">
        <f t="shared" si="6"/>
        <v/>
      </c>
      <c r="K232" t="str">
        <f t="shared" si="7"/>
        <v>Standard</v>
      </c>
    </row>
    <row r="233" spans="1:11" x14ac:dyDescent="0.3">
      <c r="A233">
        <v>1231</v>
      </c>
      <c r="B233" s="5">
        <v>46521</v>
      </c>
      <c r="C233" t="s">
        <v>454</v>
      </c>
      <c r="D233" t="s">
        <v>130</v>
      </c>
      <c r="E233" t="s">
        <v>459</v>
      </c>
      <c r="F233">
        <v>17</v>
      </c>
      <c r="G233">
        <v>300</v>
      </c>
      <c r="H233">
        <v>5100</v>
      </c>
      <c r="I233" t="s">
        <v>460</v>
      </c>
      <c r="J233" t="str">
        <f t="shared" si="6"/>
        <v>Call</v>
      </c>
      <c r="K233" t="str">
        <f t="shared" si="7"/>
        <v>High</v>
      </c>
    </row>
    <row r="234" spans="1:11" x14ac:dyDescent="0.3">
      <c r="A234">
        <v>1232</v>
      </c>
      <c r="B234" s="5">
        <v>46522</v>
      </c>
      <c r="C234" t="s">
        <v>454</v>
      </c>
      <c r="D234" t="s">
        <v>131</v>
      </c>
      <c r="E234" t="s">
        <v>455</v>
      </c>
      <c r="F234">
        <v>49</v>
      </c>
      <c r="G234">
        <v>1200</v>
      </c>
      <c r="H234">
        <v>58800</v>
      </c>
      <c r="I234" t="s">
        <v>464</v>
      </c>
      <c r="J234" t="str">
        <f t="shared" si="6"/>
        <v/>
      </c>
      <c r="K234" t="str">
        <f t="shared" si="7"/>
        <v>High</v>
      </c>
    </row>
    <row r="235" spans="1:11" x14ac:dyDescent="0.3">
      <c r="A235">
        <v>1233</v>
      </c>
      <c r="B235" s="5">
        <v>46523</v>
      </c>
      <c r="C235" t="s">
        <v>466</v>
      </c>
      <c r="D235" t="s">
        <v>129</v>
      </c>
      <c r="E235" t="s">
        <v>457</v>
      </c>
      <c r="F235">
        <v>14</v>
      </c>
      <c r="G235">
        <v>45</v>
      </c>
      <c r="H235">
        <v>630</v>
      </c>
      <c r="I235" t="s">
        <v>456</v>
      </c>
      <c r="J235" t="str">
        <f t="shared" si="6"/>
        <v/>
      </c>
      <c r="K235" t="str">
        <f t="shared" si="7"/>
        <v>Standard</v>
      </c>
    </row>
    <row r="236" spans="1:11" x14ac:dyDescent="0.3">
      <c r="A236">
        <v>1234</v>
      </c>
      <c r="B236" s="5">
        <v>46524</v>
      </c>
      <c r="C236" t="s">
        <v>458</v>
      </c>
      <c r="D236" t="s">
        <v>130</v>
      </c>
      <c r="E236" t="s">
        <v>459</v>
      </c>
      <c r="F236">
        <v>33</v>
      </c>
      <c r="G236">
        <v>300</v>
      </c>
      <c r="H236">
        <v>9900</v>
      </c>
      <c r="I236" t="s">
        <v>456</v>
      </c>
      <c r="J236" t="str">
        <f t="shared" si="6"/>
        <v/>
      </c>
      <c r="K236" t="str">
        <f t="shared" si="7"/>
        <v>High</v>
      </c>
    </row>
    <row r="237" spans="1:11" x14ac:dyDescent="0.3">
      <c r="A237">
        <v>1235</v>
      </c>
      <c r="B237" s="5">
        <v>46525</v>
      </c>
      <c r="C237" t="s">
        <v>454</v>
      </c>
      <c r="D237" t="s">
        <v>397</v>
      </c>
      <c r="E237" t="s">
        <v>457</v>
      </c>
      <c r="F237">
        <v>14</v>
      </c>
      <c r="G237">
        <v>45</v>
      </c>
      <c r="H237">
        <v>630</v>
      </c>
      <c r="I237" t="s">
        <v>464</v>
      </c>
      <c r="J237" t="str">
        <f t="shared" si="6"/>
        <v/>
      </c>
      <c r="K237" t="str">
        <f t="shared" si="7"/>
        <v>Standard</v>
      </c>
    </row>
    <row r="238" spans="1:11" x14ac:dyDescent="0.3">
      <c r="A238">
        <v>1236</v>
      </c>
      <c r="B238" s="5">
        <v>46526</v>
      </c>
      <c r="C238" t="s">
        <v>462</v>
      </c>
      <c r="D238" t="s">
        <v>129</v>
      </c>
      <c r="E238" t="s">
        <v>455</v>
      </c>
      <c r="F238">
        <v>39</v>
      </c>
      <c r="G238">
        <v>1200</v>
      </c>
      <c r="H238">
        <v>46800</v>
      </c>
      <c r="I238" t="s">
        <v>456</v>
      </c>
      <c r="J238" t="str">
        <f t="shared" si="6"/>
        <v/>
      </c>
      <c r="K238" t="str">
        <f t="shared" si="7"/>
        <v>High</v>
      </c>
    </row>
    <row r="239" spans="1:11" x14ac:dyDescent="0.3">
      <c r="A239">
        <v>1237</v>
      </c>
      <c r="B239" s="5">
        <v>46527</v>
      </c>
      <c r="C239" t="s">
        <v>465</v>
      </c>
      <c r="D239" t="s">
        <v>131</v>
      </c>
      <c r="E239" t="s">
        <v>463</v>
      </c>
      <c r="F239">
        <v>5</v>
      </c>
      <c r="G239">
        <v>25</v>
      </c>
      <c r="H239">
        <v>125</v>
      </c>
      <c r="I239" t="s">
        <v>456</v>
      </c>
      <c r="J239" t="str">
        <f t="shared" si="6"/>
        <v/>
      </c>
      <c r="K239" t="str">
        <f t="shared" si="7"/>
        <v>Standard</v>
      </c>
    </row>
    <row r="240" spans="1:11" x14ac:dyDescent="0.3">
      <c r="A240">
        <v>1238</v>
      </c>
      <c r="B240" s="5">
        <v>46528</v>
      </c>
      <c r="C240" t="s">
        <v>465</v>
      </c>
      <c r="D240" t="s">
        <v>132</v>
      </c>
      <c r="E240" t="s">
        <v>455</v>
      </c>
      <c r="F240">
        <v>26</v>
      </c>
      <c r="G240">
        <v>1200</v>
      </c>
      <c r="H240">
        <v>31200</v>
      </c>
      <c r="I240" t="s">
        <v>460</v>
      </c>
      <c r="J240" t="str">
        <f t="shared" si="6"/>
        <v>Call</v>
      </c>
      <c r="K240" t="str">
        <f t="shared" si="7"/>
        <v>High</v>
      </c>
    </row>
    <row r="241" spans="1:11" x14ac:dyDescent="0.3">
      <c r="A241">
        <v>1239</v>
      </c>
      <c r="B241" s="5">
        <v>46529</v>
      </c>
      <c r="C241" t="s">
        <v>465</v>
      </c>
      <c r="D241" t="s">
        <v>130</v>
      </c>
      <c r="E241" t="s">
        <v>463</v>
      </c>
      <c r="F241">
        <v>4</v>
      </c>
      <c r="G241">
        <v>25</v>
      </c>
      <c r="H241">
        <v>100</v>
      </c>
      <c r="I241" t="s">
        <v>456</v>
      </c>
      <c r="J241" t="str">
        <f t="shared" si="6"/>
        <v/>
      </c>
      <c r="K241" t="str">
        <f t="shared" si="7"/>
        <v>Standard</v>
      </c>
    </row>
    <row r="242" spans="1:11" x14ac:dyDescent="0.3">
      <c r="A242">
        <v>1240</v>
      </c>
      <c r="B242" s="5">
        <v>46530</v>
      </c>
      <c r="C242" t="s">
        <v>465</v>
      </c>
      <c r="D242" t="s">
        <v>129</v>
      </c>
      <c r="E242" t="s">
        <v>459</v>
      </c>
      <c r="F242">
        <v>17</v>
      </c>
      <c r="G242">
        <v>300</v>
      </c>
      <c r="H242">
        <v>5100</v>
      </c>
      <c r="I242" t="s">
        <v>456</v>
      </c>
      <c r="J242" t="str">
        <f t="shared" si="6"/>
        <v/>
      </c>
      <c r="K242" t="str">
        <f t="shared" si="7"/>
        <v>High</v>
      </c>
    </row>
    <row r="243" spans="1:11" x14ac:dyDescent="0.3">
      <c r="A243">
        <v>1241</v>
      </c>
      <c r="B243" s="5">
        <v>46531</v>
      </c>
      <c r="C243" t="s">
        <v>465</v>
      </c>
      <c r="D243" t="s">
        <v>131</v>
      </c>
      <c r="E243" t="s">
        <v>463</v>
      </c>
      <c r="F243">
        <v>46</v>
      </c>
      <c r="G243">
        <v>25</v>
      </c>
      <c r="H243">
        <v>1150</v>
      </c>
      <c r="I243" t="s">
        <v>456</v>
      </c>
      <c r="J243" t="str">
        <f t="shared" si="6"/>
        <v/>
      </c>
      <c r="K243" t="str">
        <f t="shared" si="7"/>
        <v>Standard</v>
      </c>
    </row>
    <row r="244" spans="1:11" x14ac:dyDescent="0.3">
      <c r="A244">
        <v>1242</v>
      </c>
      <c r="B244" s="5">
        <v>46532</v>
      </c>
      <c r="C244" t="s">
        <v>454</v>
      </c>
      <c r="D244" t="s">
        <v>131</v>
      </c>
      <c r="E244" t="s">
        <v>459</v>
      </c>
      <c r="F244">
        <v>28</v>
      </c>
      <c r="G244">
        <v>300</v>
      </c>
      <c r="H244">
        <v>8400</v>
      </c>
      <c r="I244" t="s">
        <v>460</v>
      </c>
      <c r="J244" t="str">
        <f t="shared" si="6"/>
        <v>Call</v>
      </c>
      <c r="K244" t="str">
        <f t="shared" si="7"/>
        <v>High</v>
      </c>
    </row>
    <row r="245" spans="1:11" x14ac:dyDescent="0.3">
      <c r="A245">
        <v>1243</v>
      </c>
      <c r="B245" s="5">
        <v>46533</v>
      </c>
      <c r="C245" t="s">
        <v>465</v>
      </c>
      <c r="D245" t="s">
        <v>130</v>
      </c>
      <c r="E245" t="s">
        <v>455</v>
      </c>
      <c r="F245">
        <v>20</v>
      </c>
      <c r="G245">
        <v>1200</v>
      </c>
      <c r="H245">
        <v>24000</v>
      </c>
      <c r="I245" t="s">
        <v>456</v>
      </c>
      <c r="J245" t="str">
        <f t="shared" si="6"/>
        <v/>
      </c>
      <c r="K245" t="str">
        <f t="shared" si="7"/>
        <v>High</v>
      </c>
    </row>
    <row r="246" spans="1:11" x14ac:dyDescent="0.3">
      <c r="A246">
        <v>1244</v>
      </c>
      <c r="B246" s="5">
        <v>46534</v>
      </c>
      <c r="C246" t="s">
        <v>454</v>
      </c>
      <c r="D246" t="s">
        <v>129</v>
      </c>
      <c r="E246" t="s">
        <v>459</v>
      </c>
      <c r="F246">
        <v>43</v>
      </c>
      <c r="G246">
        <v>300</v>
      </c>
      <c r="H246">
        <v>12900</v>
      </c>
      <c r="I246" t="s">
        <v>456</v>
      </c>
      <c r="J246" t="str">
        <f t="shared" si="6"/>
        <v/>
      </c>
      <c r="K246" t="str">
        <f t="shared" si="7"/>
        <v>High</v>
      </c>
    </row>
    <row r="247" spans="1:11" x14ac:dyDescent="0.3">
      <c r="A247">
        <v>1245</v>
      </c>
      <c r="B247" s="5">
        <v>46535</v>
      </c>
      <c r="C247" t="s">
        <v>465</v>
      </c>
      <c r="D247" t="s">
        <v>129</v>
      </c>
      <c r="E247" t="s">
        <v>455</v>
      </c>
      <c r="F247">
        <v>41</v>
      </c>
      <c r="G247">
        <v>1200</v>
      </c>
      <c r="H247">
        <v>49200</v>
      </c>
      <c r="I247" t="s">
        <v>456</v>
      </c>
      <c r="J247" t="str">
        <f t="shared" si="6"/>
        <v/>
      </c>
      <c r="K247" t="str">
        <f t="shared" si="7"/>
        <v>High</v>
      </c>
    </row>
    <row r="248" spans="1:11" x14ac:dyDescent="0.3">
      <c r="A248">
        <v>1246</v>
      </c>
      <c r="B248" s="5">
        <v>46536</v>
      </c>
      <c r="C248" t="s">
        <v>458</v>
      </c>
      <c r="D248" t="s">
        <v>131</v>
      </c>
      <c r="E248" t="s">
        <v>459</v>
      </c>
      <c r="F248">
        <v>47</v>
      </c>
      <c r="G248">
        <v>300</v>
      </c>
      <c r="H248">
        <v>14100</v>
      </c>
      <c r="I248" t="s">
        <v>464</v>
      </c>
      <c r="J248" t="str">
        <f t="shared" si="6"/>
        <v/>
      </c>
      <c r="K248" t="str">
        <f t="shared" si="7"/>
        <v>High</v>
      </c>
    </row>
    <row r="249" spans="1:11" x14ac:dyDescent="0.3">
      <c r="A249">
        <v>1247</v>
      </c>
      <c r="B249" s="5">
        <v>46537</v>
      </c>
      <c r="C249" t="s">
        <v>466</v>
      </c>
      <c r="D249" t="s">
        <v>131</v>
      </c>
      <c r="E249" t="s">
        <v>455</v>
      </c>
      <c r="F249">
        <v>45</v>
      </c>
      <c r="G249">
        <v>1200</v>
      </c>
      <c r="H249">
        <v>54000</v>
      </c>
      <c r="I249" t="s">
        <v>460</v>
      </c>
      <c r="J249" t="str">
        <f t="shared" si="6"/>
        <v>Call</v>
      </c>
      <c r="K249" t="str">
        <f t="shared" si="7"/>
        <v>High</v>
      </c>
    </row>
    <row r="250" spans="1:11" x14ac:dyDescent="0.3">
      <c r="A250">
        <v>1248</v>
      </c>
      <c r="B250" s="5">
        <v>46538</v>
      </c>
      <c r="C250" t="s">
        <v>466</v>
      </c>
      <c r="D250" t="s">
        <v>397</v>
      </c>
      <c r="E250" t="s">
        <v>463</v>
      </c>
      <c r="F250">
        <v>30</v>
      </c>
      <c r="G250">
        <v>25</v>
      </c>
      <c r="H250">
        <v>750</v>
      </c>
      <c r="I250" t="s">
        <v>456</v>
      </c>
      <c r="J250" t="str">
        <f t="shared" si="6"/>
        <v/>
      </c>
      <c r="K250" t="str">
        <f t="shared" si="7"/>
        <v>Standard</v>
      </c>
    </row>
    <row r="251" spans="1:11" x14ac:dyDescent="0.3">
      <c r="A251">
        <v>1249</v>
      </c>
      <c r="B251" s="5">
        <v>46539</v>
      </c>
      <c r="C251" t="s">
        <v>458</v>
      </c>
      <c r="D251" t="s">
        <v>129</v>
      </c>
      <c r="E251" t="s">
        <v>459</v>
      </c>
      <c r="F251">
        <v>28</v>
      </c>
      <c r="G251">
        <v>300</v>
      </c>
      <c r="H251">
        <v>8400</v>
      </c>
      <c r="I251" t="s">
        <v>456</v>
      </c>
      <c r="J251" t="str">
        <f t="shared" si="6"/>
        <v/>
      </c>
      <c r="K251" t="str">
        <f t="shared" si="7"/>
        <v>High</v>
      </c>
    </row>
    <row r="252" spans="1:11" x14ac:dyDescent="0.3">
      <c r="A252">
        <v>1250</v>
      </c>
      <c r="B252" s="5">
        <v>46540</v>
      </c>
      <c r="C252" t="s">
        <v>465</v>
      </c>
      <c r="D252" t="s">
        <v>131</v>
      </c>
      <c r="E252" t="s">
        <v>459</v>
      </c>
      <c r="F252">
        <v>46</v>
      </c>
      <c r="G252">
        <v>300</v>
      </c>
      <c r="H252">
        <v>13800</v>
      </c>
      <c r="I252" t="s">
        <v>464</v>
      </c>
      <c r="J252" t="str">
        <f t="shared" si="6"/>
        <v/>
      </c>
      <c r="K252" t="str">
        <f t="shared" si="7"/>
        <v>High</v>
      </c>
    </row>
    <row r="253" spans="1:11" x14ac:dyDescent="0.3">
      <c r="A253">
        <v>1251</v>
      </c>
      <c r="B253" s="5">
        <v>46541</v>
      </c>
      <c r="C253" t="s">
        <v>454</v>
      </c>
      <c r="D253" t="s">
        <v>130</v>
      </c>
      <c r="E253" t="s">
        <v>459</v>
      </c>
      <c r="F253">
        <v>22</v>
      </c>
      <c r="G253">
        <v>300</v>
      </c>
      <c r="H253">
        <v>6600</v>
      </c>
      <c r="I253" t="s">
        <v>456</v>
      </c>
      <c r="J253" t="str">
        <f t="shared" si="6"/>
        <v/>
      </c>
      <c r="K253" t="str">
        <f t="shared" si="7"/>
        <v>High</v>
      </c>
    </row>
    <row r="254" spans="1:11" x14ac:dyDescent="0.3">
      <c r="A254">
        <v>1252</v>
      </c>
      <c r="B254" s="5">
        <v>46542</v>
      </c>
      <c r="C254" t="s">
        <v>465</v>
      </c>
      <c r="D254" t="s">
        <v>397</v>
      </c>
      <c r="E254" t="s">
        <v>459</v>
      </c>
      <c r="F254">
        <v>17</v>
      </c>
      <c r="G254">
        <v>300</v>
      </c>
      <c r="H254">
        <v>5100</v>
      </c>
      <c r="I254" t="s">
        <v>456</v>
      </c>
      <c r="J254" t="str">
        <f t="shared" si="6"/>
        <v/>
      </c>
      <c r="K254" t="str">
        <f t="shared" si="7"/>
        <v>High</v>
      </c>
    </row>
    <row r="255" spans="1:11" x14ac:dyDescent="0.3">
      <c r="A255">
        <v>1253</v>
      </c>
      <c r="B255" s="5">
        <v>46543</v>
      </c>
      <c r="C255" t="s">
        <v>454</v>
      </c>
      <c r="D255" t="s">
        <v>397</v>
      </c>
      <c r="E255" t="s">
        <v>461</v>
      </c>
      <c r="F255">
        <v>6</v>
      </c>
      <c r="G255">
        <v>80</v>
      </c>
      <c r="H255">
        <v>480</v>
      </c>
      <c r="I255" t="s">
        <v>464</v>
      </c>
      <c r="J255" t="str">
        <f t="shared" si="6"/>
        <v/>
      </c>
      <c r="K255" t="str">
        <f t="shared" si="7"/>
        <v>Standard</v>
      </c>
    </row>
    <row r="256" spans="1:11" x14ac:dyDescent="0.3">
      <c r="A256">
        <v>1254</v>
      </c>
      <c r="B256" s="5">
        <v>46544</v>
      </c>
      <c r="C256" t="s">
        <v>465</v>
      </c>
      <c r="D256" t="s">
        <v>397</v>
      </c>
      <c r="E256" t="s">
        <v>457</v>
      </c>
      <c r="F256">
        <v>25</v>
      </c>
      <c r="G256">
        <v>45</v>
      </c>
      <c r="H256">
        <v>1125</v>
      </c>
      <c r="I256" t="s">
        <v>456</v>
      </c>
      <c r="J256" t="str">
        <f t="shared" si="6"/>
        <v/>
      </c>
      <c r="K256" t="str">
        <f t="shared" si="7"/>
        <v>Standard</v>
      </c>
    </row>
    <row r="257" spans="1:11" x14ac:dyDescent="0.3">
      <c r="A257">
        <v>1255</v>
      </c>
      <c r="B257" s="5">
        <v>46545</v>
      </c>
      <c r="C257" t="s">
        <v>458</v>
      </c>
      <c r="D257" t="s">
        <v>131</v>
      </c>
      <c r="E257" t="s">
        <v>457</v>
      </c>
      <c r="F257">
        <v>50</v>
      </c>
      <c r="G257">
        <v>45</v>
      </c>
      <c r="H257">
        <v>2250</v>
      </c>
      <c r="I257" t="s">
        <v>456</v>
      </c>
      <c r="J257" t="str">
        <f t="shared" si="6"/>
        <v/>
      </c>
      <c r="K257" t="str">
        <f t="shared" si="7"/>
        <v>Standard</v>
      </c>
    </row>
    <row r="258" spans="1:11" x14ac:dyDescent="0.3">
      <c r="A258">
        <v>1256</v>
      </c>
      <c r="B258" s="5">
        <v>46546</v>
      </c>
      <c r="C258" t="s">
        <v>466</v>
      </c>
      <c r="D258" t="s">
        <v>132</v>
      </c>
      <c r="E258" t="s">
        <v>457</v>
      </c>
      <c r="F258">
        <v>13</v>
      </c>
      <c r="G258">
        <v>45</v>
      </c>
      <c r="H258">
        <v>585</v>
      </c>
      <c r="I258" t="s">
        <v>456</v>
      </c>
      <c r="J258" t="str">
        <f t="shared" si="6"/>
        <v/>
      </c>
      <c r="K258" t="str">
        <f t="shared" si="7"/>
        <v>Standard</v>
      </c>
    </row>
    <row r="259" spans="1:11" x14ac:dyDescent="0.3">
      <c r="A259">
        <v>1257</v>
      </c>
      <c r="B259" s="5">
        <v>46547</v>
      </c>
      <c r="C259" t="s">
        <v>466</v>
      </c>
      <c r="D259" t="s">
        <v>129</v>
      </c>
      <c r="E259" t="s">
        <v>455</v>
      </c>
      <c r="F259">
        <v>23</v>
      </c>
      <c r="G259">
        <v>1200</v>
      </c>
      <c r="H259">
        <v>27600</v>
      </c>
      <c r="I259" t="s">
        <v>460</v>
      </c>
      <c r="J259" t="str">
        <f t="shared" si="6"/>
        <v>Call</v>
      </c>
      <c r="K259" t="str">
        <f t="shared" si="7"/>
        <v>High</v>
      </c>
    </row>
    <row r="260" spans="1:11" x14ac:dyDescent="0.3">
      <c r="A260">
        <v>1258</v>
      </c>
      <c r="B260" s="5">
        <v>46548</v>
      </c>
      <c r="C260" t="s">
        <v>466</v>
      </c>
      <c r="D260" t="s">
        <v>129</v>
      </c>
      <c r="E260" t="s">
        <v>459</v>
      </c>
      <c r="F260">
        <v>46</v>
      </c>
      <c r="G260">
        <v>300</v>
      </c>
      <c r="H260">
        <v>13800</v>
      </c>
      <c r="I260" t="s">
        <v>456</v>
      </c>
      <c r="J260" t="str">
        <f t="shared" ref="J260:J323" si="8">IF(I260="Pending","Call","")</f>
        <v/>
      </c>
      <c r="K260" t="str">
        <f t="shared" ref="K260:K323" si="9">IF(H260&gt;5000,"High","Standard")</f>
        <v>High</v>
      </c>
    </row>
    <row r="261" spans="1:11" x14ac:dyDescent="0.3">
      <c r="A261">
        <v>1259</v>
      </c>
      <c r="B261" s="5">
        <v>46549</v>
      </c>
      <c r="C261" t="s">
        <v>466</v>
      </c>
      <c r="D261" t="s">
        <v>130</v>
      </c>
      <c r="E261" t="s">
        <v>457</v>
      </c>
      <c r="F261">
        <v>7</v>
      </c>
      <c r="G261">
        <v>45</v>
      </c>
      <c r="H261">
        <v>315</v>
      </c>
      <c r="I261" t="s">
        <v>456</v>
      </c>
      <c r="J261" t="str">
        <f t="shared" si="8"/>
        <v/>
      </c>
      <c r="K261" t="str">
        <f t="shared" si="9"/>
        <v>Standard</v>
      </c>
    </row>
    <row r="262" spans="1:11" x14ac:dyDescent="0.3">
      <c r="A262">
        <v>1260</v>
      </c>
      <c r="B262" s="5">
        <v>46550</v>
      </c>
      <c r="C262" t="s">
        <v>466</v>
      </c>
      <c r="D262" t="s">
        <v>130</v>
      </c>
      <c r="E262" t="s">
        <v>459</v>
      </c>
      <c r="F262">
        <v>31</v>
      </c>
      <c r="G262">
        <v>300</v>
      </c>
      <c r="H262">
        <v>9300</v>
      </c>
      <c r="I262" t="s">
        <v>464</v>
      </c>
      <c r="J262" t="str">
        <f t="shared" si="8"/>
        <v/>
      </c>
      <c r="K262" t="str">
        <f t="shared" si="9"/>
        <v>High</v>
      </c>
    </row>
    <row r="263" spans="1:11" x14ac:dyDescent="0.3">
      <c r="A263">
        <v>1261</v>
      </c>
      <c r="B263" s="5">
        <v>46551</v>
      </c>
      <c r="C263" t="s">
        <v>466</v>
      </c>
      <c r="D263" t="s">
        <v>132</v>
      </c>
      <c r="E263" t="s">
        <v>455</v>
      </c>
      <c r="F263">
        <v>24</v>
      </c>
      <c r="G263">
        <v>1200</v>
      </c>
      <c r="H263">
        <v>28800</v>
      </c>
      <c r="I263" t="s">
        <v>464</v>
      </c>
      <c r="J263" t="str">
        <f t="shared" si="8"/>
        <v/>
      </c>
      <c r="K263" t="str">
        <f t="shared" si="9"/>
        <v>High</v>
      </c>
    </row>
    <row r="264" spans="1:11" x14ac:dyDescent="0.3">
      <c r="A264">
        <v>1262</v>
      </c>
      <c r="B264" s="5">
        <v>46552</v>
      </c>
      <c r="C264" t="s">
        <v>465</v>
      </c>
      <c r="D264" t="s">
        <v>397</v>
      </c>
      <c r="E264" t="s">
        <v>463</v>
      </c>
      <c r="F264">
        <v>4</v>
      </c>
      <c r="G264">
        <v>25</v>
      </c>
      <c r="H264">
        <v>100</v>
      </c>
      <c r="I264" t="s">
        <v>456</v>
      </c>
      <c r="J264" t="str">
        <f t="shared" si="8"/>
        <v/>
      </c>
      <c r="K264" t="str">
        <f t="shared" si="9"/>
        <v>Standard</v>
      </c>
    </row>
    <row r="265" spans="1:11" x14ac:dyDescent="0.3">
      <c r="A265">
        <v>1263</v>
      </c>
      <c r="B265" s="5">
        <v>46553</v>
      </c>
      <c r="C265" t="s">
        <v>454</v>
      </c>
      <c r="D265" t="s">
        <v>132</v>
      </c>
      <c r="E265" t="s">
        <v>459</v>
      </c>
      <c r="F265">
        <v>48</v>
      </c>
      <c r="G265">
        <v>300</v>
      </c>
      <c r="H265">
        <v>14400</v>
      </c>
      <c r="I265" t="s">
        <v>456</v>
      </c>
      <c r="J265" t="str">
        <f t="shared" si="8"/>
        <v/>
      </c>
      <c r="K265" t="str">
        <f t="shared" si="9"/>
        <v>High</v>
      </c>
    </row>
    <row r="266" spans="1:11" x14ac:dyDescent="0.3">
      <c r="A266">
        <v>1264</v>
      </c>
      <c r="B266" s="5">
        <v>46554</v>
      </c>
      <c r="C266" t="s">
        <v>466</v>
      </c>
      <c r="D266" t="s">
        <v>130</v>
      </c>
      <c r="E266" t="s">
        <v>459</v>
      </c>
      <c r="F266">
        <v>10</v>
      </c>
      <c r="G266">
        <v>300</v>
      </c>
      <c r="H266">
        <v>3000</v>
      </c>
      <c r="I266" t="s">
        <v>456</v>
      </c>
      <c r="J266" t="str">
        <f t="shared" si="8"/>
        <v/>
      </c>
      <c r="K266" t="str">
        <f t="shared" si="9"/>
        <v>Standard</v>
      </c>
    </row>
    <row r="267" spans="1:11" x14ac:dyDescent="0.3">
      <c r="A267">
        <v>1265</v>
      </c>
      <c r="B267" s="5">
        <v>46555</v>
      </c>
      <c r="C267" t="s">
        <v>465</v>
      </c>
      <c r="D267" t="s">
        <v>397</v>
      </c>
      <c r="E267" t="s">
        <v>455</v>
      </c>
      <c r="F267">
        <v>24</v>
      </c>
      <c r="G267">
        <v>1200</v>
      </c>
      <c r="H267">
        <v>28800</v>
      </c>
      <c r="I267" t="s">
        <v>456</v>
      </c>
      <c r="J267" t="str">
        <f t="shared" si="8"/>
        <v/>
      </c>
      <c r="K267" t="str">
        <f t="shared" si="9"/>
        <v>High</v>
      </c>
    </row>
    <row r="268" spans="1:11" x14ac:dyDescent="0.3">
      <c r="A268">
        <v>1266</v>
      </c>
      <c r="B268" s="5">
        <v>46556</v>
      </c>
      <c r="C268" t="s">
        <v>458</v>
      </c>
      <c r="D268" t="s">
        <v>130</v>
      </c>
      <c r="E268" t="s">
        <v>457</v>
      </c>
      <c r="F268">
        <v>44</v>
      </c>
      <c r="G268">
        <v>45</v>
      </c>
      <c r="H268">
        <v>1980</v>
      </c>
      <c r="I268" t="s">
        <v>456</v>
      </c>
      <c r="J268" t="str">
        <f t="shared" si="8"/>
        <v/>
      </c>
      <c r="K268" t="str">
        <f t="shared" si="9"/>
        <v>Standard</v>
      </c>
    </row>
    <row r="269" spans="1:11" x14ac:dyDescent="0.3">
      <c r="A269">
        <v>1267</v>
      </c>
      <c r="B269" s="5">
        <v>46557</v>
      </c>
      <c r="C269" t="s">
        <v>454</v>
      </c>
      <c r="D269" t="s">
        <v>132</v>
      </c>
      <c r="E269" t="s">
        <v>455</v>
      </c>
      <c r="F269">
        <v>18</v>
      </c>
      <c r="G269">
        <v>1200</v>
      </c>
      <c r="H269">
        <v>21600</v>
      </c>
      <c r="I269" t="s">
        <v>456</v>
      </c>
      <c r="J269" t="str">
        <f t="shared" si="8"/>
        <v/>
      </c>
      <c r="K269" t="str">
        <f t="shared" si="9"/>
        <v>High</v>
      </c>
    </row>
    <row r="270" spans="1:11" x14ac:dyDescent="0.3">
      <c r="A270">
        <v>1268</v>
      </c>
      <c r="B270" s="5">
        <v>46558</v>
      </c>
      <c r="C270" t="s">
        <v>458</v>
      </c>
      <c r="D270" t="s">
        <v>397</v>
      </c>
      <c r="E270" t="s">
        <v>463</v>
      </c>
      <c r="F270">
        <v>33</v>
      </c>
      <c r="G270">
        <v>25</v>
      </c>
      <c r="H270">
        <v>825</v>
      </c>
      <c r="I270" t="s">
        <v>456</v>
      </c>
      <c r="J270" t="str">
        <f t="shared" si="8"/>
        <v/>
      </c>
      <c r="K270" t="str">
        <f t="shared" si="9"/>
        <v>Standard</v>
      </c>
    </row>
    <row r="271" spans="1:11" x14ac:dyDescent="0.3">
      <c r="A271">
        <v>1269</v>
      </c>
      <c r="B271" s="5">
        <v>46559</v>
      </c>
      <c r="C271" t="s">
        <v>462</v>
      </c>
      <c r="D271" t="s">
        <v>130</v>
      </c>
      <c r="E271" t="s">
        <v>455</v>
      </c>
      <c r="F271">
        <v>28</v>
      </c>
      <c r="G271">
        <v>1200</v>
      </c>
      <c r="H271">
        <v>33600</v>
      </c>
      <c r="I271" t="s">
        <v>456</v>
      </c>
      <c r="J271" t="str">
        <f t="shared" si="8"/>
        <v/>
      </c>
      <c r="K271" t="str">
        <f t="shared" si="9"/>
        <v>High</v>
      </c>
    </row>
    <row r="272" spans="1:11" x14ac:dyDescent="0.3">
      <c r="A272">
        <v>1270</v>
      </c>
      <c r="B272" s="5">
        <v>46560</v>
      </c>
      <c r="C272" t="s">
        <v>462</v>
      </c>
      <c r="D272" t="s">
        <v>132</v>
      </c>
      <c r="E272" t="s">
        <v>455</v>
      </c>
      <c r="F272">
        <v>11</v>
      </c>
      <c r="G272">
        <v>1200</v>
      </c>
      <c r="H272">
        <v>13200</v>
      </c>
      <c r="I272" t="s">
        <v>456</v>
      </c>
      <c r="J272" t="str">
        <f t="shared" si="8"/>
        <v/>
      </c>
      <c r="K272" t="str">
        <f t="shared" si="9"/>
        <v>High</v>
      </c>
    </row>
    <row r="273" spans="1:11" x14ac:dyDescent="0.3">
      <c r="A273">
        <v>1271</v>
      </c>
      <c r="B273" s="5">
        <v>46561</v>
      </c>
      <c r="C273" t="s">
        <v>462</v>
      </c>
      <c r="D273" t="s">
        <v>129</v>
      </c>
      <c r="E273" t="s">
        <v>459</v>
      </c>
      <c r="F273">
        <v>35</v>
      </c>
      <c r="G273">
        <v>300</v>
      </c>
      <c r="H273">
        <v>10500</v>
      </c>
      <c r="I273" t="s">
        <v>456</v>
      </c>
      <c r="J273" t="str">
        <f t="shared" si="8"/>
        <v/>
      </c>
      <c r="K273" t="str">
        <f t="shared" si="9"/>
        <v>High</v>
      </c>
    </row>
    <row r="274" spans="1:11" x14ac:dyDescent="0.3">
      <c r="A274">
        <v>1272</v>
      </c>
      <c r="B274" s="5">
        <v>46562</v>
      </c>
      <c r="C274" t="s">
        <v>458</v>
      </c>
      <c r="D274" t="s">
        <v>130</v>
      </c>
      <c r="E274" t="s">
        <v>457</v>
      </c>
      <c r="F274">
        <v>21</v>
      </c>
      <c r="G274">
        <v>45</v>
      </c>
      <c r="H274">
        <v>945</v>
      </c>
      <c r="I274" t="s">
        <v>456</v>
      </c>
      <c r="J274" t="str">
        <f t="shared" si="8"/>
        <v/>
      </c>
      <c r="K274" t="str">
        <f t="shared" si="9"/>
        <v>Standard</v>
      </c>
    </row>
    <row r="275" spans="1:11" x14ac:dyDescent="0.3">
      <c r="A275">
        <v>1273</v>
      </c>
      <c r="B275" s="5">
        <v>46563</v>
      </c>
      <c r="C275" t="s">
        <v>462</v>
      </c>
      <c r="D275" t="s">
        <v>129</v>
      </c>
      <c r="E275" t="s">
        <v>459</v>
      </c>
      <c r="F275">
        <v>24</v>
      </c>
      <c r="G275">
        <v>300</v>
      </c>
      <c r="H275">
        <v>7200</v>
      </c>
      <c r="I275" t="s">
        <v>464</v>
      </c>
      <c r="J275" t="str">
        <f t="shared" si="8"/>
        <v/>
      </c>
      <c r="K275" t="str">
        <f t="shared" si="9"/>
        <v>High</v>
      </c>
    </row>
    <row r="276" spans="1:11" x14ac:dyDescent="0.3">
      <c r="A276">
        <v>1274</v>
      </c>
      <c r="B276" s="5">
        <v>46564</v>
      </c>
      <c r="C276" t="s">
        <v>465</v>
      </c>
      <c r="D276" t="s">
        <v>397</v>
      </c>
      <c r="E276" t="s">
        <v>455</v>
      </c>
      <c r="F276">
        <v>42</v>
      </c>
      <c r="G276">
        <v>1200</v>
      </c>
      <c r="H276">
        <v>50400</v>
      </c>
      <c r="I276" t="s">
        <v>464</v>
      </c>
      <c r="J276" t="str">
        <f t="shared" si="8"/>
        <v/>
      </c>
      <c r="K276" t="str">
        <f t="shared" si="9"/>
        <v>High</v>
      </c>
    </row>
    <row r="277" spans="1:11" x14ac:dyDescent="0.3">
      <c r="A277">
        <v>1275</v>
      </c>
      <c r="B277" s="5">
        <v>46565</v>
      </c>
      <c r="C277" t="s">
        <v>466</v>
      </c>
      <c r="D277" t="s">
        <v>132</v>
      </c>
      <c r="E277" t="s">
        <v>457</v>
      </c>
      <c r="F277">
        <v>17</v>
      </c>
      <c r="G277">
        <v>45</v>
      </c>
      <c r="H277">
        <v>765</v>
      </c>
      <c r="I277" t="s">
        <v>460</v>
      </c>
      <c r="J277" t="str">
        <f t="shared" si="8"/>
        <v>Call</v>
      </c>
      <c r="K277" t="str">
        <f t="shared" si="9"/>
        <v>Standard</v>
      </c>
    </row>
    <row r="278" spans="1:11" x14ac:dyDescent="0.3">
      <c r="A278">
        <v>1276</v>
      </c>
      <c r="B278" s="5">
        <v>46566</v>
      </c>
      <c r="C278" t="s">
        <v>466</v>
      </c>
      <c r="D278" t="s">
        <v>132</v>
      </c>
      <c r="E278" t="s">
        <v>461</v>
      </c>
      <c r="F278">
        <v>39</v>
      </c>
      <c r="G278">
        <v>80</v>
      </c>
      <c r="H278">
        <v>3120</v>
      </c>
      <c r="I278" t="s">
        <v>456</v>
      </c>
      <c r="J278" t="str">
        <f t="shared" si="8"/>
        <v/>
      </c>
      <c r="K278" t="str">
        <f t="shared" si="9"/>
        <v>Standard</v>
      </c>
    </row>
    <row r="279" spans="1:11" x14ac:dyDescent="0.3">
      <c r="A279">
        <v>1277</v>
      </c>
      <c r="B279" s="5">
        <v>46567</v>
      </c>
      <c r="C279" t="s">
        <v>458</v>
      </c>
      <c r="D279" t="s">
        <v>130</v>
      </c>
      <c r="E279" t="s">
        <v>457</v>
      </c>
      <c r="F279">
        <v>24</v>
      </c>
      <c r="G279">
        <v>45</v>
      </c>
      <c r="H279">
        <v>1080</v>
      </c>
      <c r="I279" t="s">
        <v>464</v>
      </c>
      <c r="J279" t="str">
        <f t="shared" si="8"/>
        <v/>
      </c>
      <c r="K279" t="str">
        <f t="shared" si="9"/>
        <v>Standard</v>
      </c>
    </row>
    <row r="280" spans="1:11" x14ac:dyDescent="0.3">
      <c r="A280">
        <v>1278</v>
      </c>
      <c r="B280" s="5">
        <v>46568</v>
      </c>
      <c r="C280" t="s">
        <v>466</v>
      </c>
      <c r="D280" t="s">
        <v>131</v>
      </c>
      <c r="E280" t="s">
        <v>463</v>
      </c>
      <c r="F280">
        <v>18</v>
      </c>
      <c r="G280">
        <v>25</v>
      </c>
      <c r="H280">
        <v>450</v>
      </c>
      <c r="I280" t="s">
        <v>456</v>
      </c>
      <c r="J280" t="str">
        <f t="shared" si="8"/>
        <v/>
      </c>
      <c r="K280" t="str">
        <f t="shared" si="9"/>
        <v>Standard</v>
      </c>
    </row>
    <row r="281" spans="1:11" x14ac:dyDescent="0.3">
      <c r="A281">
        <v>1279</v>
      </c>
      <c r="B281" s="5">
        <v>46569</v>
      </c>
      <c r="C281" t="s">
        <v>466</v>
      </c>
      <c r="D281" t="s">
        <v>131</v>
      </c>
      <c r="E281" t="s">
        <v>455</v>
      </c>
      <c r="F281">
        <v>15</v>
      </c>
      <c r="G281">
        <v>1200</v>
      </c>
      <c r="H281">
        <v>18000</v>
      </c>
      <c r="I281" t="s">
        <v>456</v>
      </c>
      <c r="J281" t="str">
        <f t="shared" si="8"/>
        <v/>
      </c>
      <c r="K281" t="str">
        <f t="shared" si="9"/>
        <v>High</v>
      </c>
    </row>
    <row r="282" spans="1:11" x14ac:dyDescent="0.3">
      <c r="A282">
        <v>1280</v>
      </c>
      <c r="B282" s="5">
        <v>46570</v>
      </c>
      <c r="C282" t="s">
        <v>465</v>
      </c>
      <c r="D282" t="s">
        <v>129</v>
      </c>
      <c r="E282" t="s">
        <v>461</v>
      </c>
      <c r="F282">
        <v>10</v>
      </c>
      <c r="G282">
        <v>80</v>
      </c>
      <c r="H282">
        <v>800</v>
      </c>
      <c r="I282" t="s">
        <v>456</v>
      </c>
      <c r="J282" t="str">
        <f t="shared" si="8"/>
        <v/>
      </c>
      <c r="K282" t="str">
        <f t="shared" si="9"/>
        <v>Standard</v>
      </c>
    </row>
    <row r="283" spans="1:11" x14ac:dyDescent="0.3">
      <c r="A283">
        <v>1281</v>
      </c>
      <c r="B283" s="5">
        <v>46571</v>
      </c>
      <c r="C283" t="s">
        <v>466</v>
      </c>
      <c r="D283" t="s">
        <v>132</v>
      </c>
      <c r="E283" t="s">
        <v>455</v>
      </c>
      <c r="F283">
        <v>49</v>
      </c>
      <c r="G283">
        <v>1200</v>
      </c>
      <c r="H283">
        <v>58800</v>
      </c>
      <c r="I283" t="s">
        <v>456</v>
      </c>
      <c r="J283" t="str">
        <f t="shared" si="8"/>
        <v/>
      </c>
      <c r="K283" t="str">
        <f t="shared" si="9"/>
        <v>High</v>
      </c>
    </row>
    <row r="284" spans="1:11" x14ac:dyDescent="0.3">
      <c r="A284">
        <v>1282</v>
      </c>
      <c r="B284" s="5">
        <v>46572</v>
      </c>
      <c r="C284" t="s">
        <v>454</v>
      </c>
      <c r="D284" t="s">
        <v>131</v>
      </c>
      <c r="E284" t="s">
        <v>457</v>
      </c>
      <c r="F284">
        <v>18</v>
      </c>
      <c r="G284">
        <v>45</v>
      </c>
      <c r="H284">
        <v>810</v>
      </c>
      <c r="I284" t="s">
        <v>460</v>
      </c>
      <c r="J284" t="str">
        <f t="shared" si="8"/>
        <v>Call</v>
      </c>
      <c r="K284" t="str">
        <f t="shared" si="9"/>
        <v>Standard</v>
      </c>
    </row>
    <row r="285" spans="1:11" x14ac:dyDescent="0.3">
      <c r="A285">
        <v>1283</v>
      </c>
      <c r="B285" s="5">
        <v>46573</v>
      </c>
      <c r="C285" t="s">
        <v>454</v>
      </c>
      <c r="D285" t="s">
        <v>132</v>
      </c>
      <c r="E285" t="s">
        <v>459</v>
      </c>
      <c r="F285">
        <v>17</v>
      </c>
      <c r="G285">
        <v>300</v>
      </c>
      <c r="H285">
        <v>5100</v>
      </c>
      <c r="I285" t="s">
        <v>460</v>
      </c>
      <c r="J285" t="str">
        <f t="shared" si="8"/>
        <v>Call</v>
      </c>
      <c r="K285" t="str">
        <f t="shared" si="9"/>
        <v>High</v>
      </c>
    </row>
    <row r="286" spans="1:11" x14ac:dyDescent="0.3">
      <c r="A286">
        <v>1284</v>
      </c>
      <c r="B286" s="5">
        <v>46574</v>
      </c>
      <c r="C286" t="s">
        <v>454</v>
      </c>
      <c r="D286" t="s">
        <v>129</v>
      </c>
      <c r="E286" t="s">
        <v>457</v>
      </c>
      <c r="F286">
        <v>9</v>
      </c>
      <c r="G286">
        <v>45</v>
      </c>
      <c r="H286">
        <v>405</v>
      </c>
      <c r="I286" t="s">
        <v>456</v>
      </c>
      <c r="J286" t="str">
        <f t="shared" si="8"/>
        <v/>
      </c>
      <c r="K286" t="str">
        <f t="shared" si="9"/>
        <v>Standard</v>
      </c>
    </row>
    <row r="287" spans="1:11" x14ac:dyDescent="0.3">
      <c r="A287">
        <v>1285</v>
      </c>
      <c r="B287" s="5">
        <v>46575</v>
      </c>
      <c r="C287" t="s">
        <v>454</v>
      </c>
      <c r="D287" t="s">
        <v>397</v>
      </c>
      <c r="E287" t="s">
        <v>455</v>
      </c>
      <c r="F287">
        <v>30</v>
      </c>
      <c r="G287">
        <v>1200</v>
      </c>
      <c r="H287">
        <v>36000</v>
      </c>
      <c r="I287" t="s">
        <v>456</v>
      </c>
      <c r="J287" t="str">
        <f t="shared" si="8"/>
        <v/>
      </c>
      <c r="K287" t="str">
        <f t="shared" si="9"/>
        <v>High</v>
      </c>
    </row>
    <row r="288" spans="1:11" x14ac:dyDescent="0.3">
      <c r="A288">
        <v>1286</v>
      </c>
      <c r="B288" s="5">
        <v>46576</v>
      </c>
      <c r="C288" t="s">
        <v>454</v>
      </c>
      <c r="D288" t="s">
        <v>130</v>
      </c>
      <c r="E288" t="s">
        <v>463</v>
      </c>
      <c r="F288">
        <v>17</v>
      </c>
      <c r="G288">
        <v>25</v>
      </c>
      <c r="H288">
        <v>425</v>
      </c>
      <c r="I288" t="s">
        <v>456</v>
      </c>
      <c r="J288" t="str">
        <f t="shared" si="8"/>
        <v/>
      </c>
      <c r="K288" t="str">
        <f t="shared" si="9"/>
        <v>Standard</v>
      </c>
    </row>
    <row r="289" spans="1:11" x14ac:dyDescent="0.3">
      <c r="A289">
        <v>1287</v>
      </c>
      <c r="B289" s="5">
        <v>46577</v>
      </c>
      <c r="C289" t="s">
        <v>454</v>
      </c>
      <c r="D289" t="s">
        <v>132</v>
      </c>
      <c r="E289" t="s">
        <v>455</v>
      </c>
      <c r="F289">
        <v>12</v>
      </c>
      <c r="G289">
        <v>1200</v>
      </c>
      <c r="H289">
        <v>14400</v>
      </c>
      <c r="I289" t="s">
        <v>464</v>
      </c>
      <c r="J289" t="str">
        <f t="shared" si="8"/>
        <v/>
      </c>
      <c r="K289" t="str">
        <f t="shared" si="9"/>
        <v>High</v>
      </c>
    </row>
    <row r="290" spans="1:11" x14ac:dyDescent="0.3">
      <c r="A290">
        <v>1288</v>
      </c>
      <c r="B290" s="5">
        <v>46578</v>
      </c>
      <c r="C290" t="s">
        <v>465</v>
      </c>
      <c r="D290" t="s">
        <v>131</v>
      </c>
      <c r="E290" t="s">
        <v>455</v>
      </c>
      <c r="F290">
        <v>41</v>
      </c>
      <c r="G290">
        <v>1200</v>
      </c>
      <c r="H290">
        <v>49200</v>
      </c>
      <c r="I290" t="s">
        <v>460</v>
      </c>
      <c r="J290" t="str">
        <f t="shared" si="8"/>
        <v>Call</v>
      </c>
      <c r="K290" t="str">
        <f t="shared" si="9"/>
        <v>High</v>
      </c>
    </row>
    <row r="291" spans="1:11" x14ac:dyDescent="0.3">
      <c r="A291">
        <v>1289</v>
      </c>
      <c r="B291" s="5">
        <v>46579</v>
      </c>
      <c r="C291" t="s">
        <v>458</v>
      </c>
      <c r="D291" t="s">
        <v>130</v>
      </c>
      <c r="E291" t="s">
        <v>457</v>
      </c>
      <c r="F291">
        <v>15</v>
      </c>
      <c r="G291">
        <v>45</v>
      </c>
      <c r="H291">
        <v>675</v>
      </c>
      <c r="I291" t="s">
        <v>464</v>
      </c>
      <c r="J291" t="str">
        <f t="shared" si="8"/>
        <v/>
      </c>
      <c r="K291" t="str">
        <f t="shared" si="9"/>
        <v>Standard</v>
      </c>
    </row>
    <row r="292" spans="1:11" x14ac:dyDescent="0.3">
      <c r="A292">
        <v>1290</v>
      </c>
      <c r="B292" s="5">
        <v>46580</v>
      </c>
      <c r="C292" t="s">
        <v>462</v>
      </c>
      <c r="D292" t="s">
        <v>129</v>
      </c>
      <c r="E292" t="s">
        <v>459</v>
      </c>
      <c r="F292">
        <v>6</v>
      </c>
      <c r="G292">
        <v>300</v>
      </c>
      <c r="H292">
        <v>1800</v>
      </c>
      <c r="I292" t="s">
        <v>464</v>
      </c>
      <c r="J292" t="str">
        <f t="shared" si="8"/>
        <v/>
      </c>
      <c r="K292" t="str">
        <f t="shared" si="9"/>
        <v>Standard</v>
      </c>
    </row>
    <row r="293" spans="1:11" x14ac:dyDescent="0.3">
      <c r="A293">
        <v>1291</v>
      </c>
      <c r="B293" s="5">
        <v>46581</v>
      </c>
      <c r="C293" t="s">
        <v>465</v>
      </c>
      <c r="D293" t="s">
        <v>131</v>
      </c>
      <c r="E293" t="s">
        <v>461</v>
      </c>
      <c r="F293">
        <v>5</v>
      </c>
      <c r="G293">
        <v>80</v>
      </c>
      <c r="H293">
        <v>400</v>
      </c>
      <c r="I293" t="s">
        <v>456</v>
      </c>
      <c r="J293" t="str">
        <f t="shared" si="8"/>
        <v/>
      </c>
      <c r="K293" t="str">
        <f t="shared" si="9"/>
        <v>Standard</v>
      </c>
    </row>
    <row r="294" spans="1:11" x14ac:dyDescent="0.3">
      <c r="A294">
        <v>1292</v>
      </c>
      <c r="B294" s="5">
        <v>46582</v>
      </c>
      <c r="C294" t="s">
        <v>466</v>
      </c>
      <c r="D294" t="s">
        <v>131</v>
      </c>
      <c r="E294" t="s">
        <v>455</v>
      </c>
      <c r="F294">
        <v>48</v>
      </c>
      <c r="G294">
        <v>1200</v>
      </c>
      <c r="H294">
        <v>57600</v>
      </c>
      <c r="I294" t="s">
        <v>464</v>
      </c>
      <c r="J294" t="str">
        <f t="shared" si="8"/>
        <v/>
      </c>
      <c r="K294" t="str">
        <f t="shared" si="9"/>
        <v>High</v>
      </c>
    </row>
    <row r="295" spans="1:11" x14ac:dyDescent="0.3">
      <c r="A295">
        <v>1293</v>
      </c>
      <c r="B295" s="5">
        <v>46583</v>
      </c>
      <c r="C295" t="s">
        <v>458</v>
      </c>
      <c r="D295" t="s">
        <v>131</v>
      </c>
      <c r="E295" t="s">
        <v>459</v>
      </c>
      <c r="F295">
        <v>20</v>
      </c>
      <c r="G295">
        <v>300</v>
      </c>
      <c r="H295">
        <v>6000</v>
      </c>
      <c r="I295" t="s">
        <v>456</v>
      </c>
      <c r="J295" t="str">
        <f t="shared" si="8"/>
        <v/>
      </c>
      <c r="K295" t="str">
        <f t="shared" si="9"/>
        <v>High</v>
      </c>
    </row>
    <row r="296" spans="1:11" x14ac:dyDescent="0.3">
      <c r="A296">
        <v>1294</v>
      </c>
      <c r="B296" s="5">
        <v>46584</v>
      </c>
      <c r="C296" t="s">
        <v>462</v>
      </c>
      <c r="D296" t="s">
        <v>129</v>
      </c>
      <c r="E296" t="s">
        <v>463</v>
      </c>
      <c r="F296">
        <v>44</v>
      </c>
      <c r="G296">
        <v>25</v>
      </c>
      <c r="H296">
        <v>1100</v>
      </c>
      <c r="I296" t="s">
        <v>456</v>
      </c>
      <c r="J296" t="str">
        <f t="shared" si="8"/>
        <v/>
      </c>
      <c r="K296" t="str">
        <f t="shared" si="9"/>
        <v>Standard</v>
      </c>
    </row>
    <row r="297" spans="1:11" x14ac:dyDescent="0.3">
      <c r="A297">
        <v>1295</v>
      </c>
      <c r="B297" s="5">
        <v>46585</v>
      </c>
      <c r="C297" t="s">
        <v>465</v>
      </c>
      <c r="D297" t="s">
        <v>130</v>
      </c>
      <c r="E297" t="s">
        <v>457</v>
      </c>
      <c r="F297">
        <v>25</v>
      </c>
      <c r="G297">
        <v>45</v>
      </c>
      <c r="H297">
        <v>1125</v>
      </c>
      <c r="I297" t="s">
        <v>456</v>
      </c>
      <c r="J297" t="str">
        <f t="shared" si="8"/>
        <v/>
      </c>
      <c r="K297" t="str">
        <f t="shared" si="9"/>
        <v>Standard</v>
      </c>
    </row>
    <row r="298" spans="1:11" x14ac:dyDescent="0.3">
      <c r="A298">
        <v>1296</v>
      </c>
      <c r="B298" s="5">
        <v>46586</v>
      </c>
      <c r="C298" t="s">
        <v>458</v>
      </c>
      <c r="D298" t="s">
        <v>132</v>
      </c>
      <c r="E298" t="s">
        <v>457</v>
      </c>
      <c r="F298">
        <v>49</v>
      </c>
      <c r="G298">
        <v>45</v>
      </c>
      <c r="H298">
        <v>2205</v>
      </c>
      <c r="I298" t="s">
        <v>456</v>
      </c>
      <c r="J298" t="str">
        <f t="shared" si="8"/>
        <v/>
      </c>
      <c r="K298" t="str">
        <f t="shared" si="9"/>
        <v>Standard</v>
      </c>
    </row>
    <row r="299" spans="1:11" x14ac:dyDescent="0.3">
      <c r="A299">
        <v>1297</v>
      </c>
      <c r="B299" s="5">
        <v>46587</v>
      </c>
      <c r="C299" t="s">
        <v>458</v>
      </c>
      <c r="D299" t="s">
        <v>129</v>
      </c>
      <c r="E299" t="s">
        <v>463</v>
      </c>
      <c r="F299">
        <v>40</v>
      </c>
      <c r="G299">
        <v>25</v>
      </c>
      <c r="H299">
        <v>1000</v>
      </c>
      <c r="I299" t="s">
        <v>456</v>
      </c>
      <c r="J299" t="str">
        <f t="shared" si="8"/>
        <v/>
      </c>
      <c r="K299" t="str">
        <f t="shared" si="9"/>
        <v>Standard</v>
      </c>
    </row>
    <row r="300" spans="1:11" x14ac:dyDescent="0.3">
      <c r="A300">
        <v>1298</v>
      </c>
      <c r="B300" s="5">
        <v>46588</v>
      </c>
      <c r="C300" t="s">
        <v>458</v>
      </c>
      <c r="D300" t="s">
        <v>130</v>
      </c>
      <c r="E300" t="s">
        <v>463</v>
      </c>
      <c r="F300">
        <v>16</v>
      </c>
      <c r="G300">
        <v>25</v>
      </c>
      <c r="H300">
        <v>400</v>
      </c>
      <c r="I300" t="s">
        <v>456</v>
      </c>
      <c r="J300" t="str">
        <f t="shared" si="8"/>
        <v/>
      </c>
      <c r="K300" t="str">
        <f t="shared" si="9"/>
        <v>Standard</v>
      </c>
    </row>
    <row r="301" spans="1:11" x14ac:dyDescent="0.3">
      <c r="A301">
        <v>1299</v>
      </c>
      <c r="B301" s="5">
        <v>46589</v>
      </c>
      <c r="C301" t="s">
        <v>465</v>
      </c>
      <c r="D301" t="s">
        <v>132</v>
      </c>
      <c r="E301" t="s">
        <v>461</v>
      </c>
      <c r="F301">
        <v>5</v>
      </c>
      <c r="G301">
        <v>80</v>
      </c>
      <c r="H301">
        <v>400</v>
      </c>
      <c r="I301" t="s">
        <v>456</v>
      </c>
      <c r="J301" t="str">
        <f t="shared" si="8"/>
        <v/>
      </c>
      <c r="K301" t="str">
        <f t="shared" si="9"/>
        <v>Standard</v>
      </c>
    </row>
    <row r="302" spans="1:11" x14ac:dyDescent="0.3">
      <c r="A302">
        <v>1300</v>
      </c>
      <c r="B302" s="5">
        <v>46590</v>
      </c>
      <c r="C302" t="s">
        <v>462</v>
      </c>
      <c r="D302" t="s">
        <v>129</v>
      </c>
      <c r="E302" t="s">
        <v>457</v>
      </c>
      <c r="F302">
        <v>26</v>
      </c>
      <c r="G302">
        <v>45</v>
      </c>
      <c r="H302">
        <v>1170</v>
      </c>
      <c r="I302" t="s">
        <v>456</v>
      </c>
      <c r="J302" t="str">
        <f t="shared" si="8"/>
        <v/>
      </c>
      <c r="K302" t="str">
        <f t="shared" si="9"/>
        <v>Standard</v>
      </c>
    </row>
    <row r="303" spans="1:11" x14ac:dyDescent="0.3">
      <c r="A303">
        <v>1301</v>
      </c>
      <c r="B303" s="5">
        <v>46591</v>
      </c>
      <c r="C303" t="s">
        <v>465</v>
      </c>
      <c r="D303" t="s">
        <v>131</v>
      </c>
      <c r="E303" t="s">
        <v>459</v>
      </c>
      <c r="F303">
        <v>30</v>
      </c>
      <c r="G303">
        <v>300</v>
      </c>
      <c r="H303">
        <v>9000</v>
      </c>
      <c r="I303" t="s">
        <v>456</v>
      </c>
      <c r="J303" t="str">
        <f t="shared" si="8"/>
        <v/>
      </c>
      <c r="K303" t="str">
        <f t="shared" si="9"/>
        <v>High</v>
      </c>
    </row>
    <row r="304" spans="1:11" x14ac:dyDescent="0.3">
      <c r="A304">
        <v>1302</v>
      </c>
      <c r="B304" s="5">
        <v>46592</v>
      </c>
      <c r="C304" t="s">
        <v>458</v>
      </c>
      <c r="D304" t="s">
        <v>131</v>
      </c>
      <c r="E304" t="s">
        <v>457</v>
      </c>
      <c r="F304">
        <v>20</v>
      </c>
      <c r="G304">
        <v>45</v>
      </c>
      <c r="H304">
        <v>900</v>
      </c>
      <c r="I304" t="s">
        <v>456</v>
      </c>
      <c r="J304" t="str">
        <f t="shared" si="8"/>
        <v/>
      </c>
      <c r="K304" t="str">
        <f t="shared" si="9"/>
        <v>Standard</v>
      </c>
    </row>
    <row r="305" spans="1:11" x14ac:dyDescent="0.3">
      <c r="A305">
        <v>1303</v>
      </c>
      <c r="B305" s="5">
        <v>46593</v>
      </c>
      <c r="C305" t="s">
        <v>465</v>
      </c>
      <c r="D305" t="s">
        <v>131</v>
      </c>
      <c r="E305" t="s">
        <v>461</v>
      </c>
      <c r="F305">
        <v>47</v>
      </c>
      <c r="G305">
        <v>80</v>
      </c>
      <c r="H305">
        <v>3760</v>
      </c>
      <c r="I305" t="s">
        <v>456</v>
      </c>
      <c r="J305" t="str">
        <f t="shared" si="8"/>
        <v/>
      </c>
      <c r="K305" t="str">
        <f t="shared" si="9"/>
        <v>Standard</v>
      </c>
    </row>
    <row r="306" spans="1:11" x14ac:dyDescent="0.3">
      <c r="A306">
        <v>1304</v>
      </c>
      <c r="B306" s="5">
        <v>46594</v>
      </c>
      <c r="C306" t="s">
        <v>465</v>
      </c>
      <c r="D306" t="s">
        <v>397</v>
      </c>
      <c r="E306" t="s">
        <v>459</v>
      </c>
      <c r="F306">
        <v>7</v>
      </c>
      <c r="G306">
        <v>300</v>
      </c>
      <c r="H306">
        <v>2100</v>
      </c>
      <c r="I306" t="s">
        <v>456</v>
      </c>
      <c r="J306" t="str">
        <f t="shared" si="8"/>
        <v/>
      </c>
      <c r="K306" t="str">
        <f t="shared" si="9"/>
        <v>Standard</v>
      </c>
    </row>
    <row r="307" spans="1:11" x14ac:dyDescent="0.3">
      <c r="A307">
        <v>1305</v>
      </c>
      <c r="B307" s="5">
        <v>46595</v>
      </c>
      <c r="C307" t="s">
        <v>458</v>
      </c>
      <c r="D307" t="s">
        <v>132</v>
      </c>
      <c r="E307" t="s">
        <v>459</v>
      </c>
      <c r="F307">
        <v>13</v>
      </c>
      <c r="G307">
        <v>300</v>
      </c>
      <c r="H307">
        <v>3900</v>
      </c>
      <c r="I307" t="s">
        <v>456</v>
      </c>
      <c r="J307" t="str">
        <f t="shared" si="8"/>
        <v/>
      </c>
      <c r="K307" t="str">
        <f t="shared" si="9"/>
        <v>Standard</v>
      </c>
    </row>
    <row r="308" spans="1:11" x14ac:dyDescent="0.3">
      <c r="A308">
        <v>1306</v>
      </c>
      <c r="B308" s="5">
        <v>46596</v>
      </c>
      <c r="C308" t="s">
        <v>454</v>
      </c>
      <c r="D308" t="s">
        <v>131</v>
      </c>
      <c r="E308" t="s">
        <v>461</v>
      </c>
      <c r="F308">
        <v>41</v>
      </c>
      <c r="G308">
        <v>80</v>
      </c>
      <c r="H308">
        <v>3280</v>
      </c>
      <c r="I308" t="s">
        <v>456</v>
      </c>
      <c r="J308" t="str">
        <f t="shared" si="8"/>
        <v/>
      </c>
      <c r="K308" t="str">
        <f t="shared" si="9"/>
        <v>Standard</v>
      </c>
    </row>
    <row r="309" spans="1:11" x14ac:dyDescent="0.3">
      <c r="A309">
        <v>1307</v>
      </c>
      <c r="B309" s="5">
        <v>46597</v>
      </c>
      <c r="C309" t="s">
        <v>458</v>
      </c>
      <c r="D309" t="s">
        <v>397</v>
      </c>
      <c r="E309" t="s">
        <v>457</v>
      </c>
      <c r="F309">
        <v>25</v>
      </c>
      <c r="G309">
        <v>45</v>
      </c>
      <c r="H309">
        <v>1125</v>
      </c>
      <c r="I309" t="s">
        <v>464</v>
      </c>
      <c r="J309" t="str">
        <f t="shared" si="8"/>
        <v/>
      </c>
      <c r="K309" t="str">
        <f t="shared" si="9"/>
        <v>Standard</v>
      </c>
    </row>
    <row r="310" spans="1:11" x14ac:dyDescent="0.3">
      <c r="A310">
        <v>1308</v>
      </c>
      <c r="B310" s="5">
        <v>46598</v>
      </c>
      <c r="C310" t="s">
        <v>458</v>
      </c>
      <c r="D310" t="s">
        <v>397</v>
      </c>
      <c r="E310" t="s">
        <v>459</v>
      </c>
      <c r="F310">
        <v>19</v>
      </c>
      <c r="G310">
        <v>300</v>
      </c>
      <c r="H310">
        <v>5700</v>
      </c>
      <c r="I310" t="s">
        <v>456</v>
      </c>
      <c r="J310" t="str">
        <f t="shared" si="8"/>
        <v/>
      </c>
      <c r="K310" t="str">
        <f t="shared" si="9"/>
        <v>High</v>
      </c>
    </row>
    <row r="311" spans="1:11" x14ac:dyDescent="0.3">
      <c r="A311">
        <v>1309</v>
      </c>
      <c r="B311" s="5">
        <v>46599</v>
      </c>
      <c r="C311" t="s">
        <v>462</v>
      </c>
      <c r="D311" t="s">
        <v>132</v>
      </c>
      <c r="E311" t="s">
        <v>463</v>
      </c>
      <c r="F311">
        <v>11</v>
      </c>
      <c r="G311">
        <v>25</v>
      </c>
      <c r="H311">
        <v>275</v>
      </c>
      <c r="I311" t="s">
        <v>464</v>
      </c>
      <c r="J311" t="str">
        <f t="shared" si="8"/>
        <v/>
      </c>
      <c r="K311" t="str">
        <f t="shared" si="9"/>
        <v>Standard</v>
      </c>
    </row>
    <row r="312" spans="1:11" x14ac:dyDescent="0.3">
      <c r="A312">
        <v>1310</v>
      </c>
      <c r="B312" s="5">
        <v>46600</v>
      </c>
      <c r="C312" t="s">
        <v>454</v>
      </c>
      <c r="D312" t="s">
        <v>132</v>
      </c>
      <c r="E312" t="s">
        <v>455</v>
      </c>
      <c r="F312">
        <v>1</v>
      </c>
      <c r="G312">
        <v>1200</v>
      </c>
      <c r="H312">
        <v>1200</v>
      </c>
      <c r="I312" t="s">
        <v>456</v>
      </c>
      <c r="J312" t="str">
        <f t="shared" si="8"/>
        <v/>
      </c>
      <c r="K312" t="str">
        <f t="shared" si="9"/>
        <v>Standard</v>
      </c>
    </row>
    <row r="313" spans="1:11" x14ac:dyDescent="0.3">
      <c r="A313">
        <v>1311</v>
      </c>
      <c r="B313" s="5">
        <v>46601</v>
      </c>
      <c r="C313" t="s">
        <v>466</v>
      </c>
      <c r="D313" t="s">
        <v>397</v>
      </c>
      <c r="E313" t="s">
        <v>459</v>
      </c>
      <c r="F313">
        <v>30</v>
      </c>
      <c r="G313">
        <v>300</v>
      </c>
      <c r="H313">
        <v>9000</v>
      </c>
      <c r="I313" t="s">
        <v>456</v>
      </c>
      <c r="J313" t="str">
        <f t="shared" si="8"/>
        <v/>
      </c>
      <c r="K313" t="str">
        <f t="shared" si="9"/>
        <v>High</v>
      </c>
    </row>
    <row r="314" spans="1:11" x14ac:dyDescent="0.3">
      <c r="A314">
        <v>1312</v>
      </c>
      <c r="B314" s="5">
        <v>46602</v>
      </c>
      <c r="C314" t="s">
        <v>458</v>
      </c>
      <c r="D314" t="s">
        <v>131</v>
      </c>
      <c r="E314" t="s">
        <v>463</v>
      </c>
      <c r="F314">
        <v>38</v>
      </c>
      <c r="G314">
        <v>25</v>
      </c>
      <c r="H314">
        <v>950</v>
      </c>
      <c r="I314" t="s">
        <v>456</v>
      </c>
      <c r="J314" t="str">
        <f t="shared" si="8"/>
        <v/>
      </c>
      <c r="K314" t="str">
        <f t="shared" si="9"/>
        <v>Standard</v>
      </c>
    </row>
    <row r="315" spans="1:11" x14ac:dyDescent="0.3">
      <c r="A315">
        <v>1313</v>
      </c>
      <c r="B315" s="5">
        <v>46603</v>
      </c>
      <c r="C315" t="s">
        <v>454</v>
      </c>
      <c r="D315" t="s">
        <v>132</v>
      </c>
      <c r="E315" t="s">
        <v>459</v>
      </c>
      <c r="F315">
        <v>37</v>
      </c>
      <c r="G315">
        <v>300</v>
      </c>
      <c r="H315">
        <v>11100</v>
      </c>
      <c r="I315" t="s">
        <v>456</v>
      </c>
      <c r="J315" t="str">
        <f t="shared" si="8"/>
        <v/>
      </c>
      <c r="K315" t="str">
        <f t="shared" si="9"/>
        <v>High</v>
      </c>
    </row>
    <row r="316" spans="1:11" x14ac:dyDescent="0.3">
      <c r="A316">
        <v>1314</v>
      </c>
      <c r="B316" s="5">
        <v>46604</v>
      </c>
      <c r="C316" t="s">
        <v>466</v>
      </c>
      <c r="D316" t="s">
        <v>130</v>
      </c>
      <c r="E316" t="s">
        <v>461</v>
      </c>
      <c r="F316">
        <v>13</v>
      </c>
      <c r="G316">
        <v>80</v>
      </c>
      <c r="H316">
        <v>1040</v>
      </c>
      <c r="I316" t="s">
        <v>464</v>
      </c>
      <c r="J316" t="str">
        <f t="shared" si="8"/>
        <v/>
      </c>
      <c r="K316" t="str">
        <f t="shared" si="9"/>
        <v>Standard</v>
      </c>
    </row>
    <row r="317" spans="1:11" x14ac:dyDescent="0.3">
      <c r="A317">
        <v>1315</v>
      </c>
      <c r="B317" s="5">
        <v>46605</v>
      </c>
      <c r="C317" t="s">
        <v>466</v>
      </c>
      <c r="D317" t="s">
        <v>132</v>
      </c>
      <c r="E317" t="s">
        <v>463</v>
      </c>
      <c r="F317">
        <v>16</v>
      </c>
      <c r="G317">
        <v>25</v>
      </c>
      <c r="H317">
        <v>400</v>
      </c>
      <c r="I317" t="s">
        <v>456</v>
      </c>
      <c r="J317" t="str">
        <f t="shared" si="8"/>
        <v/>
      </c>
      <c r="K317" t="str">
        <f t="shared" si="9"/>
        <v>Standard</v>
      </c>
    </row>
    <row r="318" spans="1:11" x14ac:dyDescent="0.3">
      <c r="A318">
        <v>1316</v>
      </c>
      <c r="B318" s="5">
        <v>46606</v>
      </c>
      <c r="C318" t="s">
        <v>454</v>
      </c>
      <c r="D318" t="s">
        <v>131</v>
      </c>
      <c r="E318" t="s">
        <v>459</v>
      </c>
      <c r="F318">
        <v>36</v>
      </c>
      <c r="G318">
        <v>300</v>
      </c>
      <c r="H318">
        <v>10800</v>
      </c>
      <c r="I318" t="s">
        <v>456</v>
      </c>
      <c r="J318" t="str">
        <f t="shared" si="8"/>
        <v/>
      </c>
      <c r="K318" t="str">
        <f t="shared" si="9"/>
        <v>High</v>
      </c>
    </row>
    <row r="319" spans="1:11" x14ac:dyDescent="0.3">
      <c r="A319">
        <v>1317</v>
      </c>
      <c r="B319" s="5">
        <v>46607</v>
      </c>
      <c r="C319" t="s">
        <v>462</v>
      </c>
      <c r="D319" t="s">
        <v>129</v>
      </c>
      <c r="E319" t="s">
        <v>457</v>
      </c>
      <c r="F319">
        <v>37</v>
      </c>
      <c r="G319">
        <v>45</v>
      </c>
      <c r="H319">
        <v>1665</v>
      </c>
      <c r="I319" t="s">
        <v>456</v>
      </c>
      <c r="J319" t="str">
        <f t="shared" si="8"/>
        <v/>
      </c>
      <c r="K319" t="str">
        <f t="shared" si="9"/>
        <v>Standard</v>
      </c>
    </row>
    <row r="320" spans="1:11" x14ac:dyDescent="0.3">
      <c r="A320">
        <v>1318</v>
      </c>
      <c r="B320" s="5">
        <v>46608</v>
      </c>
      <c r="C320" t="s">
        <v>458</v>
      </c>
      <c r="D320" t="s">
        <v>397</v>
      </c>
      <c r="E320" t="s">
        <v>463</v>
      </c>
      <c r="F320">
        <v>46</v>
      </c>
      <c r="G320">
        <v>25</v>
      </c>
      <c r="H320">
        <v>1150</v>
      </c>
      <c r="I320" t="s">
        <v>456</v>
      </c>
      <c r="J320" t="str">
        <f t="shared" si="8"/>
        <v/>
      </c>
      <c r="K320" t="str">
        <f t="shared" si="9"/>
        <v>Standard</v>
      </c>
    </row>
    <row r="321" spans="1:11" x14ac:dyDescent="0.3">
      <c r="A321">
        <v>1319</v>
      </c>
      <c r="B321" s="5">
        <v>46609</v>
      </c>
      <c r="C321" t="s">
        <v>465</v>
      </c>
      <c r="D321" t="s">
        <v>129</v>
      </c>
      <c r="E321" t="s">
        <v>457</v>
      </c>
      <c r="F321">
        <v>7</v>
      </c>
      <c r="G321">
        <v>45</v>
      </c>
      <c r="H321">
        <v>315</v>
      </c>
      <c r="I321" t="s">
        <v>456</v>
      </c>
      <c r="J321" t="str">
        <f t="shared" si="8"/>
        <v/>
      </c>
      <c r="K321" t="str">
        <f t="shared" si="9"/>
        <v>Standard</v>
      </c>
    </row>
    <row r="322" spans="1:11" x14ac:dyDescent="0.3">
      <c r="A322">
        <v>1320</v>
      </c>
      <c r="B322" s="5">
        <v>46610</v>
      </c>
      <c r="C322" t="s">
        <v>465</v>
      </c>
      <c r="D322" t="s">
        <v>129</v>
      </c>
      <c r="E322" t="s">
        <v>463</v>
      </c>
      <c r="F322">
        <v>45</v>
      </c>
      <c r="G322">
        <v>25</v>
      </c>
      <c r="H322">
        <v>1125</v>
      </c>
      <c r="I322" t="s">
        <v>456</v>
      </c>
      <c r="J322" t="str">
        <f t="shared" si="8"/>
        <v/>
      </c>
      <c r="K322" t="str">
        <f t="shared" si="9"/>
        <v>Standard</v>
      </c>
    </row>
    <row r="323" spans="1:11" x14ac:dyDescent="0.3">
      <c r="A323">
        <v>1321</v>
      </c>
      <c r="B323" s="5">
        <v>46611</v>
      </c>
      <c r="C323" t="s">
        <v>466</v>
      </c>
      <c r="D323" t="s">
        <v>397</v>
      </c>
      <c r="E323" t="s">
        <v>455</v>
      </c>
      <c r="F323">
        <v>15</v>
      </c>
      <c r="G323">
        <v>1200</v>
      </c>
      <c r="H323">
        <v>18000</v>
      </c>
      <c r="I323" t="s">
        <v>464</v>
      </c>
      <c r="J323" t="str">
        <f t="shared" si="8"/>
        <v/>
      </c>
      <c r="K323" t="str">
        <f t="shared" si="9"/>
        <v>High</v>
      </c>
    </row>
    <row r="324" spans="1:11" x14ac:dyDescent="0.3">
      <c r="A324">
        <v>1322</v>
      </c>
      <c r="B324" s="5">
        <v>46612</v>
      </c>
      <c r="C324" t="s">
        <v>458</v>
      </c>
      <c r="D324" t="s">
        <v>397</v>
      </c>
      <c r="E324" t="s">
        <v>459</v>
      </c>
      <c r="F324">
        <v>2</v>
      </c>
      <c r="G324">
        <v>300</v>
      </c>
      <c r="H324">
        <v>600</v>
      </c>
      <c r="I324" t="s">
        <v>456</v>
      </c>
      <c r="J324" t="str">
        <f t="shared" ref="J324:J387" si="10">IF(I324="Pending","Call","")</f>
        <v/>
      </c>
      <c r="K324" t="str">
        <f t="shared" ref="K324:K387" si="11">IF(H324&gt;5000,"High","Standard")</f>
        <v>Standard</v>
      </c>
    </row>
    <row r="325" spans="1:11" x14ac:dyDescent="0.3">
      <c r="A325">
        <v>1323</v>
      </c>
      <c r="B325" s="5">
        <v>46613</v>
      </c>
      <c r="C325" t="s">
        <v>466</v>
      </c>
      <c r="D325" t="s">
        <v>130</v>
      </c>
      <c r="E325" t="s">
        <v>463</v>
      </c>
      <c r="F325">
        <v>13</v>
      </c>
      <c r="G325">
        <v>25</v>
      </c>
      <c r="H325">
        <v>325</v>
      </c>
      <c r="I325" t="s">
        <v>456</v>
      </c>
      <c r="J325" t="str">
        <f t="shared" si="10"/>
        <v/>
      </c>
      <c r="K325" t="str">
        <f t="shared" si="11"/>
        <v>Standard</v>
      </c>
    </row>
    <row r="326" spans="1:11" x14ac:dyDescent="0.3">
      <c r="A326">
        <v>1324</v>
      </c>
      <c r="B326" s="5">
        <v>46614</v>
      </c>
      <c r="C326" t="s">
        <v>454</v>
      </c>
      <c r="D326" t="s">
        <v>131</v>
      </c>
      <c r="E326" t="s">
        <v>459</v>
      </c>
      <c r="F326">
        <v>24</v>
      </c>
      <c r="G326">
        <v>300</v>
      </c>
      <c r="H326">
        <v>7200</v>
      </c>
      <c r="I326" t="s">
        <v>456</v>
      </c>
      <c r="J326" t="str">
        <f t="shared" si="10"/>
        <v/>
      </c>
      <c r="K326" t="str">
        <f t="shared" si="11"/>
        <v>High</v>
      </c>
    </row>
    <row r="327" spans="1:11" x14ac:dyDescent="0.3">
      <c r="A327">
        <v>1325</v>
      </c>
      <c r="B327" s="5">
        <v>46615</v>
      </c>
      <c r="C327" t="s">
        <v>465</v>
      </c>
      <c r="D327" t="s">
        <v>129</v>
      </c>
      <c r="E327" t="s">
        <v>459</v>
      </c>
      <c r="F327">
        <v>38</v>
      </c>
      <c r="G327">
        <v>300</v>
      </c>
      <c r="H327">
        <v>11400</v>
      </c>
      <c r="I327" t="s">
        <v>456</v>
      </c>
      <c r="J327" t="str">
        <f t="shared" si="10"/>
        <v/>
      </c>
      <c r="K327" t="str">
        <f t="shared" si="11"/>
        <v>High</v>
      </c>
    </row>
    <row r="328" spans="1:11" x14ac:dyDescent="0.3">
      <c r="A328">
        <v>1326</v>
      </c>
      <c r="B328" s="5">
        <v>46616</v>
      </c>
      <c r="C328" t="s">
        <v>466</v>
      </c>
      <c r="D328" t="s">
        <v>129</v>
      </c>
      <c r="E328" t="s">
        <v>461</v>
      </c>
      <c r="F328">
        <v>42</v>
      </c>
      <c r="G328">
        <v>80</v>
      </c>
      <c r="H328">
        <v>3360</v>
      </c>
      <c r="I328" t="s">
        <v>464</v>
      </c>
      <c r="J328" t="str">
        <f t="shared" si="10"/>
        <v/>
      </c>
      <c r="K328" t="str">
        <f t="shared" si="11"/>
        <v>Standard</v>
      </c>
    </row>
    <row r="329" spans="1:11" x14ac:dyDescent="0.3">
      <c r="A329">
        <v>1327</v>
      </c>
      <c r="B329" s="5">
        <v>46617</v>
      </c>
      <c r="C329" t="s">
        <v>454</v>
      </c>
      <c r="D329" t="s">
        <v>397</v>
      </c>
      <c r="E329" t="s">
        <v>457</v>
      </c>
      <c r="F329">
        <v>37</v>
      </c>
      <c r="G329">
        <v>45</v>
      </c>
      <c r="H329">
        <v>1665</v>
      </c>
      <c r="I329" t="s">
        <v>456</v>
      </c>
      <c r="J329" t="str">
        <f t="shared" si="10"/>
        <v/>
      </c>
      <c r="K329" t="str">
        <f t="shared" si="11"/>
        <v>Standard</v>
      </c>
    </row>
    <row r="330" spans="1:11" x14ac:dyDescent="0.3">
      <c r="A330">
        <v>1328</v>
      </c>
      <c r="B330" s="5">
        <v>46618</v>
      </c>
      <c r="C330" t="s">
        <v>458</v>
      </c>
      <c r="D330" t="s">
        <v>132</v>
      </c>
      <c r="E330" t="s">
        <v>459</v>
      </c>
      <c r="F330">
        <v>41</v>
      </c>
      <c r="G330">
        <v>300</v>
      </c>
      <c r="H330">
        <v>12300</v>
      </c>
      <c r="I330" t="s">
        <v>456</v>
      </c>
      <c r="J330" t="str">
        <f t="shared" si="10"/>
        <v/>
      </c>
      <c r="K330" t="str">
        <f t="shared" si="11"/>
        <v>High</v>
      </c>
    </row>
    <row r="331" spans="1:11" x14ac:dyDescent="0.3">
      <c r="A331">
        <v>1329</v>
      </c>
      <c r="B331" s="5">
        <v>46619</v>
      </c>
      <c r="C331" t="s">
        <v>465</v>
      </c>
      <c r="D331" t="s">
        <v>131</v>
      </c>
      <c r="E331" t="s">
        <v>457</v>
      </c>
      <c r="F331">
        <v>2</v>
      </c>
      <c r="G331">
        <v>45</v>
      </c>
      <c r="H331">
        <v>90</v>
      </c>
      <c r="I331" t="s">
        <v>456</v>
      </c>
      <c r="J331" t="str">
        <f t="shared" si="10"/>
        <v/>
      </c>
      <c r="K331" t="str">
        <f t="shared" si="11"/>
        <v>Standard</v>
      </c>
    </row>
    <row r="332" spans="1:11" x14ac:dyDescent="0.3">
      <c r="A332">
        <v>1330</v>
      </c>
      <c r="B332" s="5">
        <v>46620</v>
      </c>
      <c r="C332" t="s">
        <v>465</v>
      </c>
      <c r="D332" t="s">
        <v>132</v>
      </c>
      <c r="E332" t="s">
        <v>457</v>
      </c>
      <c r="F332">
        <v>2</v>
      </c>
      <c r="G332">
        <v>45</v>
      </c>
      <c r="H332">
        <v>90</v>
      </c>
      <c r="I332" t="s">
        <v>456</v>
      </c>
      <c r="J332" t="str">
        <f t="shared" si="10"/>
        <v/>
      </c>
      <c r="K332" t="str">
        <f t="shared" si="11"/>
        <v>Standard</v>
      </c>
    </row>
    <row r="333" spans="1:11" x14ac:dyDescent="0.3">
      <c r="A333">
        <v>1331</v>
      </c>
      <c r="B333" s="5">
        <v>46621</v>
      </c>
      <c r="C333" t="s">
        <v>458</v>
      </c>
      <c r="D333" t="s">
        <v>131</v>
      </c>
      <c r="E333" t="s">
        <v>459</v>
      </c>
      <c r="F333">
        <v>43</v>
      </c>
      <c r="G333">
        <v>300</v>
      </c>
      <c r="H333">
        <v>12900</v>
      </c>
      <c r="I333" t="s">
        <v>460</v>
      </c>
      <c r="J333" t="str">
        <f t="shared" si="10"/>
        <v>Call</v>
      </c>
      <c r="K333" t="str">
        <f t="shared" si="11"/>
        <v>High</v>
      </c>
    </row>
    <row r="334" spans="1:11" x14ac:dyDescent="0.3">
      <c r="A334">
        <v>1332</v>
      </c>
      <c r="B334" s="5">
        <v>46622</v>
      </c>
      <c r="C334" t="s">
        <v>458</v>
      </c>
      <c r="D334" t="s">
        <v>397</v>
      </c>
      <c r="E334" t="s">
        <v>455</v>
      </c>
      <c r="F334">
        <v>43</v>
      </c>
      <c r="G334">
        <v>1200</v>
      </c>
      <c r="H334">
        <v>51600</v>
      </c>
      <c r="I334" t="s">
        <v>464</v>
      </c>
      <c r="J334" t="str">
        <f t="shared" si="10"/>
        <v/>
      </c>
      <c r="K334" t="str">
        <f t="shared" si="11"/>
        <v>High</v>
      </c>
    </row>
    <row r="335" spans="1:11" x14ac:dyDescent="0.3">
      <c r="A335">
        <v>1333</v>
      </c>
      <c r="B335" s="5">
        <v>46623</v>
      </c>
      <c r="C335" t="s">
        <v>458</v>
      </c>
      <c r="D335" t="s">
        <v>129</v>
      </c>
      <c r="E335" t="s">
        <v>463</v>
      </c>
      <c r="F335">
        <v>27</v>
      </c>
      <c r="G335">
        <v>25</v>
      </c>
      <c r="H335">
        <v>675</v>
      </c>
      <c r="I335" t="s">
        <v>456</v>
      </c>
      <c r="J335" t="str">
        <f t="shared" si="10"/>
        <v/>
      </c>
      <c r="K335" t="str">
        <f t="shared" si="11"/>
        <v>Standard</v>
      </c>
    </row>
    <row r="336" spans="1:11" x14ac:dyDescent="0.3">
      <c r="A336">
        <v>1334</v>
      </c>
      <c r="B336" s="5">
        <v>46624</v>
      </c>
      <c r="C336" t="s">
        <v>458</v>
      </c>
      <c r="D336" t="s">
        <v>130</v>
      </c>
      <c r="E336" t="s">
        <v>459</v>
      </c>
      <c r="F336">
        <v>3</v>
      </c>
      <c r="G336">
        <v>300</v>
      </c>
      <c r="H336">
        <v>900</v>
      </c>
      <c r="I336" t="s">
        <v>456</v>
      </c>
      <c r="J336" t="str">
        <f t="shared" si="10"/>
        <v/>
      </c>
      <c r="K336" t="str">
        <f t="shared" si="11"/>
        <v>Standard</v>
      </c>
    </row>
    <row r="337" spans="1:11" x14ac:dyDescent="0.3">
      <c r="A337">
        <v>1335</v>
      </c>
      <c r="B337" s="5">
        <v>46625</v>
      </c>
      <c r="C337" t="s">
        <v>466</v>
      </c>
      <c r="D337" t="s">
        <v>130</v>
      </c>
      <c r="E337" t="s">
        <v>457</v>
      </c>
      <c r="F337">
        <v>30</v>
      </c>
      <c r="G337">
        <v>45</v>
      </c>
      <c r="H337">
        <v>1350</v>
      </c>
      <c r="I337" t="s">
        <v>456</v>
      </c>
      <c r="J337" t="str">
        <f t="shared" si="10"/>
        <v/>
      </c>
      <c r="K337" t="str">
        <f t="shared" si="11"/>
        <v>Standard</v>
      </c>
    </row>
    <row r="338" spans="1:11" x14ac:dyDescent="0.3">
      <c r="A338">
        <v>1336</v>
      </c>
      <c r="B338" s="5">
        <v>46626</v>
      </c>
      <c r="C338" t="s">
        <v>458</v>
      </c>
      <c r="D338" t="s">
        <v>130</v>
      </c>
      <c r="E338" t="s">
        <v>461</v>
      </c>
      <c r="F338">
        <v>8</v>
      </c>
      <c r="G338">
        <v>80</v>
      </c>
      <c r="H338">
        <v>640</v>
      </c>
      <c r="I338" t="s">
        <v>460</v>
      </c>
      <c r="J338" t="str">
        <f t="shared" si="10"/>
        <v>Call</v>
      </c>
      <c r="K338" t="str">
        <f t="shared" si="11"/>
        <v>Standard</v>
      </c>
    </row>
    <row r="339" spans="1:11" x14ac:dyDescent="0.3">
      <c r="A339">
        <v>1337</v>
      </c>
      <c r="B339" s="5">
        <v>46627</v>
      </c>
      <c r="C339" t="s">
        <v>462</v>
      </c>
      <c r="D339" t="s">
        <v>132</v>
      </c>
      <c r="E339" t="s">
        <v>463</v>
      </c>
      <c r="F339">
        <v>50</v>
      </c>
      <c r="G339">
        <v>25</v>
      </c>
      <c r="H339">
        <v>1250</v>
      </c>
      <c r="I339" t="s">
        <v>464</v>
      </c>
      <c r="J339" t="str">
        <f t="shared" si="10"/>
        <v/>
      </c>
      <c r="K339" t="str">
        <f t="shared" si="11"/>
        <v>Standard</v>
      </c>
    </row>
    <row r="340" spans="1:11" x14ac:dyDescent="0.3">
      <c r="A340">
        <v>1338</v>
      </c>
      <c r="B340" s="5">
        <v>46628</v>
      </c>
      <c r="C340" t="s">
        <v>466</v>
      </c>
      <c r="D340" t="s">
        <v>132</v>
      </c>
      <c r="E340" t="s">
        <v>463</v>
      </c>
      <c r="F340">
        <v>32</v>
      </c>
      <c r="G340">
        <v>25</v>
      </c>
      <c r="H340">
        <v>800</v>
      </c>
      <c r="I340" t="s">
        <v>456</v>
      </c>
      <c r="J340" t="str">
        <f t="shared" si="10"/>
        <v/>
      </c>
      <c r="K340" t="str">
        <f t="shared" si="11"/>
        <v>Standard</v>
      </c>
    </row>
    <row r="341" spans="1:11" x14ac:dyDescent="0.3">
      <c r="A341">
        <v>1339</v>
      </c>
      <c r="B341" s="5">
        <v>46629</v>
      </c>
      <c r="C341" t="s">
        <v>462</v>
      </c>
      <c r="D341" t="s">
        <v>129</v>
      </c>
      <c r="E341" t="s">
        <v>457</v>
      </c>
      <c r="F341">
        <v>15</v>
      </c>
      <c r="G341">
        <v>45</v>
      </c>
      <c r="H341">
        <v>675</v>
      </c>
      <c r="I341" t="s">
        <v>456</v>
      </c>
      <c r="J341" t="str">
        <f t="shared" si="10"/>
        <v/>
      </c>
      <c r="K341" t="str">
        <f t="shared" si="11"/>
        <v>Standard</v>
      </c>
    </row>
    <row r="342" spans="1:11" x14ac:dyDescent="0.3">
      <c r="A342">
        <v>1340</v>
      </c>
      <c r="B342" s="5">
        <v>46630</v>
      </c>
      <c r="C342" t="s">
        <v>465</v>
      </c>
      <c r="D342" t="s">
        <v>397</v>
      </c>
      <c r="E342" t="s">
        <v>455</v>
      </c>
      <c r="F342">
        <v>13</v>
      </c>
      <c r="G342">
        <v>1200</v>
      </c>
      <c r="H342">
        <v>15600</v>
      </c>
      <c r="I342" t="s">
        <v>456</v>
      </c>
      <c r="J342" t="str">
        <f t="shared" si="10"/>
        <v/>
      </c>
      <c r="K342" t="str">
        <f t="shared" si="11"/>
        <v>High</v>
      </c>
    </row>
    <row r="343" spans="1:11" x14ac:dyDescent="0.3">
      <c r="A343">
        <v>1341</v>
      </c>
      <c r="B343" s="5">
        <v>46631</v>
      </c>
      <c r="C343" t="s">
        <v>454</v>
      </c>
      <c r="D343" t="s">
        <v>129</v>
      </c>
      <c r="E343" t="s">
        <v>461</v>
      </c>
      <c r="F343">
        <v>13</v>
      </c>
      <c r="G343">
        <v>80</v>
      </c>
      <c r="H343">
        <v>1040</v>
      </c>
      <c r="I343" t="s">
        <v>460</v>
      </c>
      <c r="J343" t="str">
        <f t="shared" si="10"/>
        <v>Call</v>
      </c>
      <c r="K343" t="str">
        <f t="shared" si="11"/>
        <v>Standard</v>
      </c>
    </row>
    <row r="344" spans="1:11" x14ac:dyDescent="0.3">
      <c r="A344">
        <v>1342</v>
      </c>
      <c r="B344" s="5">
        <v>46632</v>
      </c>
      <c r="C344" t="s">
        <v>466</v>
      </c>
      <c r="D344" t="s">
        <v>129</v>
      </c>
      <c r="E344" t="s">
        <v>459</v>
      </c>
      <c r="F344">
        <v>40</v>
      </c>
      <c r="G344">
        <v>300</v>
      </c>
      <c r="H344">
        <v>12000</v>
      </c>
      <c r="I344" t="s">
        <v>456</v>
      </c>
      <c r="J344" t="str">
        <f t="shared" si="10"/>
        <v/>
      </c>
      <c r="K344" t="str">
        <f t="shared" si="11"/>
        <v>High</v>
      </c>
    </row>
    <row r="345" spans="1:11" x14ac:dyDescent="0.3">
      <c r="A345">
        <v>1343</v>
      </c>
      <c r="B345" s="5">
        <v>46633</v>
      </c>
      <c r="C345" t="s">
        <v>462</v>
      </c>
      <c r="D345" t="s">
        <v>130</v>
      </c>
      <c r="E345" t="s">
        <v>461</v>
      </c>
      <c r="F345">
        <v>27</v>
      </c>
      <c r="G345">
        <v>80</v>
      </c>
      <c r="H345">
        <v>2160</v>
      </c>
      <c r="I345" t="s">
        <v>456</v>
      </c>
      <c r="J345" t="str">
        <f t="shared" si="10"/>
        <v/>
      </c>
      <c r="K345" t="str">
        <f t="shared" si="11"/>
        <v>Standard</v>
      </c>
    </row>
    <row r="346" spans="1:11" x14ac:dyDescent="0.3">
      <c r="A346">
        <v>1344</v>
      </c>
      <c r="B346" s="5">
        <v>46634</v>
      </c>
      <c r="C346" t="s">
        <v>466</v>
      </c>
      <c r="D346" t="s">
        <v>129</v>
      </c>
      <c r="E346" t="s">
        <v>455</v>
      </c>
      <c r="F346">
        <v>49</v>
      </c>
      <c r="G346">
        <v>1200</v>
      </c>
      <c r="H346">
        <v>58800</v>
      </c>
      <c r="I346" t="s">
        <v>460</v>
      </c>
      <c r="J346" t="str">
        <f t="shared" si="10"/>
        <v>Call</v>
      </c>
      <c r="K346" t="str">
        <f t="shared" si="11"/>
        <v>High</v>
      </c>
    </row>
    <row r="347" spans="1:11" x14ac:dyDescent="0.3">
      <c r="A347">
        <v>1345</v>
      </c>
      <c r="B347" s="5">
        <v>46635</v>
      </c>
      <c r="C347" t="s">
        <v>466</v>
      </c>
      <c r="D347" t="s">
        <v>397</v>
      </c>
      <c r="E347" t="s">
        <v>461</v>
      </c>
      <c r="F347">
        <v>23</v>
      </c>
      <c r="G347">
        <v>80</v>
      </c>
      <c r="H347">
        <v>1840</v>
      </c>
      <c r="I347" t="s">
        <v>456</v>
      </c>
      <c r="J347" t="str">
        <f t="shared" si="10"/>
        <v/>
      </c>
      <c r="K347" t="str">
        <f t="shared" si="11"/>
        <v>Standard</v>
      </c>
    </row>
    <row r="348" spans="1:11" x14ac:dyDescent="0.3">
      <c r="A348">
        <v>1346</v>
      </c>
      <c r="B348" s="5">
        <v>46636</v>
      </c>
      <c r="C348" t="s">
        <v>466</v>
      </c>
      <c r="D348" t="s">
        <v>397</v>
      </c>
      <c r="E348" t="s">
        <v>455</v>
      </c>
      <c r="F348">
        <v>33</v>
      </c>
      <c r="G348">
        <v>1200</v>
      </c>
      <c r="H348">
        <v>39600</v>
      </c>
      <c r="I348" t="s">
        <v>464</v>
      </c>
      <c r="J348" t="str">
        <f t="shared" si="10"/>
        <v/>
      </c>
      <c r="K348" t="str">
        <f t="shared" si="11"/>
        <v>High</v>
      </c>
    </row>
    <row r="349" spans="1:11" x14ac:dyDescent="0.3">
      <c r="A349">
        <v>1347</v>
      </c>
      <c r="B349" s="5">
        <v>46637</v>
      </c>
      <c r="C349" t="s">
        <v>466</v>
      </c>
      <c r="D349" t="s">
        <v>132</v>
      </c>
      <c r="E349" t="s">
        <v>463</v>
      </c>
      <c r="F349">
        <v>49</v>
      </c>
      <c r="G349">
        <v>25</v>
      </c>
      <c r="H349">
        <v>1225</v>
      </c>
      <c r="I349" t="s">
        <v>464</v>
      </c>
      <c r="J349" t="str">
        <f t="shared" si="10"/>
        <v/>
      </c>
      <c r="K349" t="str">
        <f t="shared" si="11"/>
        <v>Standard</v>
      </c>
    </row>
    <row r="350" spans="1:11" x14ac:dyDescent="0.3">
      <c r="A350">
        <v>1348</v>
      </c>
      <c r="B350" s="5">
        <v>46638</v>
      </c>
      <c r="C350" t="s">
        <v>465</v>
      </c>
      <c r="D350" t="s">
        <v>397</v>
      </c>
      <c r="E350" t="s">
        <v>457</v>
      </c>
      <c r="F350">
        <v>43</v>
      </c>
      <c r="G350">
        <v>45</v>
      </c>
      <c r="H350">
        <v>1935</v>
      </c>
      <c r="I350" t="s">
        <v>456</v>
      </c>
      <c r="J350" t="str">
        <f t="shared" si="10"/>
        <v/>
      </c>
      <c r="K350" t="str">
        <f t="shared" si="11"/>
        <v>Standard</v>
      </c>
    </row>
    <row r="351" spans="1:11" x14ac:dyDescent="0.3">
      <c r="A351">
        <v>1349</v>
      </c>
      <c r="B351" s="5">
        <v>46639</v>
      </c>
      <c r="C351" t="s">
        <v>466</v>
      </c>
      <c r="D351" t="s">
        <v>130</v>
      </c>
      <c r="E351" t="s">
        <v>463</v>
      </c>
      <c r="F351">
        <v>42</v>
      </c>
      <c r="G351">
        <v>25</v>
      </c>
      <c r="H351">
        <v>1050</v>
      </c>
      <c r="I351" t="s">
        <v>456</v>
      </c>
      <c r="J351" t="str">
        <f t="shared" si="10"/>
        <v/>
      </c>
      <c r="K351" t="str">
        <f t="shared" si="11"/>
        <v>Standard</v>
      </c>
    </row>
    <row r="352" spans="1:11" x14ac:dyDescent="0.3">
      <c r="A352">
        <v>1350</v>
      </c>
      <c r="B352" s="5">
        <v>46640</v>
      </c>
      <c r="C352" t="s">
        <v>454</v>
      </c>
      <c r="D352" t="s">
        <v>130</v>
      </c>
      <c r="E352" t="s">
        <v>459</v>
      </c>
      <c r="F352">
        <v>16</v>
      </c>
      <c r="G352">
        <v>300</v>
      </c>
      <c r="H352">
        <v>4800</v>
      </c>
      <c r="I352" t="s">
        <v>456</v>
      </c>
      <c r="J352" t="str">
        <f t="shared" si="10"/>
        <v/>
      </c>
      <c r="K352" t="str">
        <f t="shared" si="11"/>
        <v>Standard</v>
      </c>
    </row>
    <row r="353" spans="1:11" x14ac:dyDescent="0.3">
      <c r="A353">
        <v>1351</v>
      </c>
      <c r="B353" s="5">
        <v>46641</v>
      </c>
      <c r="C353" t="s">
        <v>466</v>
      </c>
      <c r="D353" t="s">
        <v>130</v>
      </c>
      <c r="E353" t="s">
        <v>463</v>
      </c>
      <c r="F353">
        <v>43</v>
      </c>
      <c r="G353">
        <v>25</v>
      </c>
      <c r="H353">
        <v>1075</v>
      </c>
      <c r="I353" t="s">
        <v>464</v>
      </c>
      <c r="J353" t="str">
        <f t="shared" si="10"/>
        <v/>
      </c>
      <c r="K353" t="str">
        <f t="shared" si="11"/>
        <v>Standard</v>
      </c>
    </row>
    <row r="354" spans="1:11" x14ac:dyDescent="0.3">
      <c r="A354">
        <v>1352</v>
      </c>
      <c r="B354" s="5">
        <v>46642</v>
      </c>
      <c r="C354" t="s">
        <v>454</v>
      </c>
      <c r="D354" t="s">
        <v>130</v>
      </c>
      <c r="E354" t="s">
        <v>455</v>
      </c>
      <c r="F354">
        <v>19</v>
      </c>
      <c r="G354">
        <v>1200</v>
      </c>
      <c r="H354">
        <v>22800</v>
      </c>
      <c r="I354" t="s">
        <v>456</v>
      </c>
      <c r="J354" t="str">
        <f t="shared" si="10"/>
        <v/>
      </c>
      <c r="K354" t="str">
        <f t="shared" si="11"/>
        <v>High</v>
      </c>
    </row>
    <row r="355" spans="1:11" x14ac:dyDescent="0.3">
      <c r="A355">
        <v>1353</v>
      </c>
      <c r="B355" s="5">
        <v>46643</v>
      </c>
      <c r="C355" t="s">
        <v>454</v>
      </c>
      <c r="D355" t="s">
        <v>130</v>
      </c>
      <c r="E355" t="s">
        <v>457</v>
      </c>
      <c r="F355">
        <v>43</v>
      </c>
      <c r="G355">
        <v>45</v>
      </c>
      <c r="H355">
        <v>1935</v>
      </c>
      <c r="I355" t="s">
        <v>456</v>
      </c>
      <c r="J355" t="str">
        <f t="shared" si="10"/>
        <v/>
      </c>
      <c r="K355" t="str">
        <f t="shared" si="11"/>
        <v>Standard</v>
      </c>
    </row>
    <row r="356" spans="1:11" x14ac:dyDescent="0.3">
      <c r="A356">
        <v>1354</v>
      </c>
      <c r="B356" s="5">
        <v>46644</v>
      </c>
      <c r="C356" t="s">
        <v>462</v>
      </c>
      <c r="D356" t="s">
        <v>129</v>
      </c>
      <c r="E356" t="s">
        <v>455</v>
      </c>
      <c r="F356">
        <v>28</v>
      </c>
      <c r="G356">
        <v>1200</v>
      </c>
      <c r="H356">
        <v>33600</v>
      </c>
      <c r="I356" t="s">
        <v>460</v>
      </c>
      <c r="J356" t="str">
        <f t="shared" si="10"/>
        <v>Call</v>
      </c>
      <c r="K356" t="str">
        <f t="shared" si="11"/>
        <v>High</v>
      </c>
    </row>
    <row r="357" spans="1:11" x14ac:dyDescent="0.3">
      <c r="A357">
        <v>1355</v>
      </c>
      <c r="B357" s="5">
        <v>46645</v>
      </c>
      <c r="C357" t="s">
        <v>462</v>
      </c>
      <c r="D357" t="s">
        <v>397</v>
      </c>
      <c r="E357" t="s">
        <v>459</v>
      </c>
      <c r="F357">
        <v>16</v>
      </c>
      <c r="G357">
        <v>300</v>
      </c>
      <c r="H357">
        <v>4800</v>
      </c>
      <c r="I357" t="s">
        <v>464</v>
      </c>
      <c r="J357" t="str">
        <f t="shared" si="10"/>
        <v/>
      </c>
      <c r="K357" t="str">
        <f t="shared" si="11"/>
        <v>Standard</v>
      </c>
    </row>
    <row r="358" spans="1:11" x14ac:dyDescent="0.3">
      <c r="A358">
        <v>1356</v>
      </c>
      <c r="B358" s="5">
        <v>46646</v>
      </c>
      <c r="C358" t="s">
        <v>462</v>
      </c>
      <c r="D358" t="s">
        <v>129</v>
      </c>
      <c r="E358" t="s">
        <v>459</v>
      </c>
      <c r="F358">
        <v>44</v>
      </c>
      <c r="G358">
        <v>300</v>
      </c>
      <c r="H358">
        <v>13200</v>
      </c>
      <c r="I358" t="s">
        <v>456</v>
      </c>
      <c r="J358" t="str">
        <f t="shared" si="10"/>
        <v/>
      </c>
      <c r="K358" t="str">
        <f t="shared" si="11"/>
        <v>High</v>
      </c>
    </row>
    <row r="359" spans="1:11" x14ac:dyDescent="0.3">
      <c r="A359">
        <v>1357</v>
      </c>
      <c r="B359" s="5">
        <v>46647</v>
      </c>
      <c r="C359" t="s">
        <v>458</v>
      </c>
      <c r="D359" t="s">
        <v>132</v>
      </c>
      <c r="E359" t="s">
        <v>459</v>
      </c>
      <c r="F359">
        <v>1</v>
      </c>
      <c r="G359">
        <v>300</v>
      </c>
      <c r="H359">
        <v>300</v>
      </c>
      <c r="I359" t="s">
        <v>456</v>
      </c>
      <c r="J359" t="str">
        <f t="shared" si="10"/>
        <v/>
      </c>
      <c r="K359" t="str">
        <f t="shared" si="11"/>
        <v>Standard</v>
      </c>
    </row>
    <row r="360" spans="1:11" x14ac:dyDescent="0.3">
      <c r="A360">
        <v>1358</v>
      </c>
      <c r="B360" s="5">
        <v>46648</v>
      </c>
      <c r="C360" t="s">
        <v>458</v>
      </c>
      <c r="D360" t="s">
        <v>129</v>
      </c>
      <c r="E360" t="s">
        <v>461</v>
      </c>
      <c r="F360">
        <v>39</v>
      </c>
      <c r="G360">
        <v>80</v>
      </c>
      <c r="H360">
        <v>3120</v>
      </c>
      <c r="I360" t="s">
        <v>456</v>
      </c>
      <c r="J360" t="str">
        <f t="shared" si="10"/>
        <v/>
      </c>
      <c r="K360" t="str">
        <f t="shared" si="11"/>
        <v>Standard</v>
      </c>
    </row>
    <row r="361" spans="1:11" x14ac:dyDescent="0.3">
      <c r="A361">
        <v>1359</v>
      </c>
      <c r="B361" s="5">
        <v>46649</v>
      </c>
      <c r="C361" t="s">
        <v>466</v>
      </c>
      <c r="D361" t="s">
        <v>130</v>
      </c>
      <c r="E361" t="s">
        <v>455</v>
      </c>
      <c r="F361">
        <v>10</v>
      </c>
      <c r="G361">
        <v>1200</v>
      </c>
      <c r="H361">
        <v>12000</v>
      </c>
      <c r="I361" t="s">
        <v>460</v>
      </c>
      <c r="J361" t="str">
        <f t="shared" si="10"/>
        <v>Call</v>
      </c>
      <c r="K361" t="str">
        <f t="shared" si="11"/>
        <v>High</v>
      </c>
    </row>
    <row r="362" spans="1:11" x14ac:dyDescent="0.3">
      <c r="A362">
        <v>1360</v>
      </c>
      <c r="B362" s="5">
        <v>46650</v>
      </c>
      <c r="C362" t="s">
        <v>458</v>
      </c>
      <c r="D362" t="s">
        <v>132</v>
      </c>
      <c r="E362" t="s">
        <v>461</v>
      </c>
      <c r="F362">
        <v>14</v>
      </c>
      <c r="G362">
        <v>80</v>
      </c>
      <c r="H362">
        <v>1120</v>
      </c>
      <c r="I362" t="s">
        <v>456</v>
      </c>
      <c r="J362" t="str">
        <f t="shared" si="10"/>
        <v/>
      </c>
      <c r="K362" t="str">
        <f t="shared" si="11"/>
        <v>Standard</v>
      </c>
    </row>
    <row r="363" spans="1:11" x14ac:dyDescent="0.3">
      <c r="A363">
        <v>1361</v>
      </c>
      <c r="B363" s="5">
        <v>46651</v>
      </c>
      <c r="C363" t="s">
        <v>458</v>
      </c>
      <c r="D363" t="s">
        <v>130</v>
      </c>
      <c r="E363" t="s">
        <v>459</v>
      </c>
      <c r="F363">
        <v>21</v>
      </c>
      <c r="G363">
        <v>300</v>
      </c>
      <c r="H363">
        <v>6300</v>
      </c>
      <c r="I363" t="s">
        <v>456</v>
      </c>
      <c r="J363" t="str">
        <f t="shared" si="10"/>
        <v/>
      </c>
      <c r="K363" t="str">
        <f t="shared" si="11"/>
        <v>High</v>
      </c>
    </row>
    <row r="364" spans="1:11" x14ac:dyDescent="0.3">
      <c r="A364">
        <v>1362</v>
      </c>
      <c r="B364" s="5">
        <v>46652</v>
      </c>
      <c r="C364" t="s">
        <v>454</v>
      </c>
      <c r="D364" t="s">
        <v>132</v>
      </c>
      <c r="E364" t="s">
        <v>461</v>
      </c>
      <c r="F364">
        <v>34</v>
      </c>
      <c r="G364">
        <v>80</v>
      </c>
      <c r="H364">
        <v>2720</v>
      </c>
      <c r="I364" t="s">
        <v>464</v>
      </c>
      <c r="J364" t="str">
        <f t="shared" si="10"/>
        <v/>
      </c>
      <c r="K364" t="str">
        <f t="shared" si="11"/>
        <v>Standard</v>
      </c>
    </row>
    <row r="365" spans="1:11" x14ac:dyDescent="0.3">
      <c r="A365">
        <v>1363</v>
      </c>
      <c r="B365" s="5">
        <v>46653</v>
      </c>
      <c r="C365" t="s">
        <v>458</v>
      </c>
      <c r="D365" t="s">
        <v>132</v>
      </c>
      <c r="E365" t="s">
        <v>461</v>
      </c>
      <c r="F365">
        <v>1</v>
      </c>
      <c r="G365">
        <v>80</v>
      </c>
      <c r="H365">
        <v>80</v>
      </c>
      <c r="I365" t="s">
        <v>464</v>
      </c>
      <c r="J365" t="str">
        <f t="shared" si="10"/>
        <v/>
      </c>
      <c r="K365" t="str">
        <f t="shared" si="11"/>
        <v>Standard</v>
      </c>
    </row>
    <row r="366" spans="1:11" x14ac:dyDescent="0.3">
      <c r="A366">
        <v>1364</v>
      </c>
      <c r="B366" s="5">
        <v>46654</v>
      </c>
      <c r="C366" t="s">
        <v>465</v>
      </c>
      <c r="D366" t="s">
        <v>130</v>
      </c>
      <c r="E366" t="s">
        <v>455</v>
      </c>
      <c r="F366">
        <v>25</v>
      </c>
      <c r="G366">
        <v>1200</v>
      </c>
      <c r="H366">
        <v>30000</v>
      </c>
      <c r="I366" t="s">
        <v>464</v>
      </c>
      <c r="J366" t="str">
        <f t="shared" si="10"/>
        <v/>
      </c>
      <c r="K366" t="str">
        <f t="shared" si="11"/>
        <v>High</v>
      </c>
    </row>
    <row r="367" spans="1:11" x14ac:dyDescent="0.3">
      <c r="A367">
        <v>1365</v>
      </c>
      <c r="B367" s="5">
        <v>46655</v>
      </c>
      <c r="C367" t="s">
        <v>466</v>
      </c>
      <c r="D367" t="s">
        <v>130</v>
      </c>
      <c r="E367" t="s">
        <v>459</v>
      </c>
      <c r="F367">
        <v>47</v>
      </c>
      <c r="G367">
        <v>300</v>
      </c>
      <c r="H367">
        <v>14100</v>
      </c>
      <c r="I367" t="s">
        <v>456</v>
      </c>
      <c r="J367" t="str">
        <f t="shared" si="10"/>
        <v/>
      </c>
      <c r="K367" t="str">
        <f t="shared" si="11"/>
        <v>High</v>
      </c>
    </row>
    <row r="368" spans="1:11" x14ac:dyDescent="0.3">
      <c r="A368">
        <v>1366</v>
      </c>
      <c r="B368" s="5">
        <v>46656</v>
      </c>
      <c r="C368" t="s">
        <v>465</v>
      </c>
      <c r="D368" t="s">
        <v>132</v>
      </c>
      <c r="E368" t="s">
        <v>459</v>
      </c>
      <c r="F368">
        <v>18</v>
      </c>
      <c r="G368">
        <v>300</v>
      </c>
      <c r="H368">
        <v>5400</v>
      </c>
      <c r="I368" t="s">
        <v>464</v>
      </c>
      <c r="J368" t="str">
        <f t="shared" si="10"/>
        <v/>
      </c>
      <c r="K368" t="str">
        <f t="shared" si="11"/>
        <v>High</v>
      </c>
    </row>
    <row r="369" spans="1:11" x14ac:dyDescent="0.3">
      <c r="A369">
        <v>1367</v>
      </c>
      <c r="B369" s="5">
        <v>46657</v>
      </c>
      <c r="C369" t="s">
        <v>466</v>
      </c>
      <c r="D369" t="s">
        <v>397</v>
      </c>
      <c r="E369" t="s">
        <v>463</v>
      </c>
      <c r="F369">
        <v>41</v>
      </c>
      <c r="G369">
        <v>25</v>
      </c>
      <c r="H369">
        <v>1025</v>
      </c>
      <c r="I369" t="s">
        <v>460</v>
      </c>
      <c r="J369" t="str">
        <f t="shared" si="10"/>
        <v>Call</v>
      </c>
      <c r="K369" t="str">
        <f t="shared" si="11"/>
        <v>Standard</v>
      </c>
    </row>
    <row r="370" spans="1:11" x14ac:dyDescent="0.3">
      <c r="A370">
        <v>1368</v>
      </c>
      <c r="B370" s="5">
        <v>46658</v>
      </c>
      <c r="C370" t="s">
        <v>465</v>
      </c>
      <c r="D370" t="s">
        <v>132</v>
      </c>
      <c r="E370" t="s">
        <v>463</v>
      </c>
      <c r="F370">
        <v>26</v>
      </c>
      <c r="G370">
        <v>25</v>
      </c>
      <c r="H370">
        <v>650</v>
      </c>
      <c r="I370" t="s">
        <v>456</v>
      </c>
      <c r="J370" t="str">
        <f t="shared" si="10"/>
        <v/>
      </c>
      <c r="K370" t="str">
        <f t="shared" si="11"/>
        <v>Standard</v>
      </c>
    </row>
    <row r="371" spans="1:11" x14ac:dyDescent="0.3">
      <c r="A371">
        <v>1369</v>
      </c>
      <c r="B371" s="5">
        <v>46659</v>
      </c>
      <c r="C371" t="s">
        <v>466</v>
      </c>
      <c r="D371" t="s">
        <v>129</v>
      </c>
      <c r="E371" t="s">
        <v>461</v>
      </c>
      <c r="F371">
        <v>18</v>
      </c>
      <c r="G371">
        <v>80</v>
      </c>
      <c r="H371">
        <v>1440</v>
      </c>
      <c r="I371" t="s">
        <v>456</v>
      </c>
      <c r="J371" t="str">
        <f t="shared" si="10"/>
        <v/>
      </c>
      <c r="K371" t="str">
        <f t="shared" si="11"/>
        <v>Standard</v>
      </c>
    </row>
    <row r="372" spans="1:11" x14ac:dyDescent="0.3">
      <c r="A372">
        <v>1370</v>
      </c>
      <c r="B372" s="5">
        <v>46660</v>
      </c>
      <c r="C372" t="s">
        <v>458</v>
      </c>
      <c r="D372" t="s">
        <v>132</v>
      </c>
      <c r="E372" t="s">
        <v>457</v>
      </c>
      <c r="F372">
        <v>17</v>
      </c>
      <c r="G372">
        <v>45</v>
      </c>
      <c r="H372">
        <v>765</v>
      </c>
      <c r="I372" t="s">
        <v>460</v>
      </c>
      <c r="J372" t="str">
        <f t="shared" si="10"/>
        <v>Call</v>
      </c>
      <c r="K372" t="str">
        <f t="shared" si="11"/>
        <v>Standard</v>
      </c>
    </row>
    <row r="373" spans="1:11" x14ac:dyDescent="0.3">
      <c r="A373">
        <v>1371</v>
      </c>
      <c r="B373" s="5">
        <v>46661</v>
      </c>
      <c r="C373" t="s">
        <v>462</v>
      </c>
      <c r="D373" t="s">
        <v>130</v>
      </c>
      <c r="E373" t="s">
        <v>457</v>
      </c>
      <c r="F373">
        <v>26</v>
      </c>
      <c r="G373">
        <v>45</v>
      </c>
      <c r="H373">
        <v>1170</v>
      </c>
      <c r="I373" t="s">
        <v>456</v>
      </c>
      <c r="J373" t="str">
        <f t="shared" si="10"/>
        <v/>
      </c>
      <c r="K373" t="str">
        <f t="shared" si="11"/>
        <v>Standard</v>
      </c>
    </row>
    <row r="374" spans="1:11" x14ac:dyDescent="0.3">
      <c r="A374">
        <v>1372</v>
      </c>
      <c r="B374" s="5">
        <v>46662</v>
      </c>
      <c r="C374" t="s">
        <v>454</v>
      </c>
      <c r="D374" t="s">
        <v>397</v>
      </c>
      <c r="E374" t="s">
        <v>463</v>
      </c>
      <c r="F374">
        <v>1</v>
      </c>
      <c r="G374">
        <v>25</v>
      </c>
      <c r="H374">
        <v>25</v>
      </c>
      <c r="I374" t="s">
        <v>456</v>
      </c>
      <c r="J374" t="str">
        <f t="shared" si="10"/>
        <v/>
      </c>
      <c r="K374" t="str">
        <f t="shared" si="11"/>
        <v>Standard</v>
      </c>
    </row>
    <row r="375" spans="1:11" x14ac:dyDescent="0.3">
      <c r="A375">
        <v>1373</v>
      </c>
      <c r="B375" s="5">
        <v>46663</v>
      </c>
      <c r="C375" t="s">
        <v>458</v>
      </c>
      <c r="D375" t="s">
        <v>397</v>
      </c>
      <c r="E375" t="s">
        <v>459</v>
      </c>
      <c r="F375">
        <v>16</v>
      </c>
      <c r="G375">
        <v>300</v>
      </c>
      <c r="H375">
        <v>4800</v>
      </c>
      <c r="I375" t="s">
        <v>456</v>
      </c>
      <c r="J375" t="str">
        <f t="shared" si="10"/>
        <v/>
      </c>
      <c r="K375" t="str">
        <f t="shared" si="11"/>
        <v>Standard</v>
      </c>
    </row>
    <row r="376" spans="1:11" x14ac:dyDescent="0.3">
      <c r="A376">
        <v>1374</v>
      </c>
      <c r="B376" s="5">
        <v>46664</v>
      </c>
      <c r="C376" t="s">
        <v>462</v>
      </c>
      <c r="D376" t="s">
        <v>132</v>
      </c>
      <c r="E376" t="s">
        <v>463</v>
      </c>
      <c r="F376">
        <v>5</v>
      </c>
      <c r="G376">
        <v>25</v>
      </c>
      <c r="H376">
        <v>125</v>
      </c>
      <c r="I376" t="s">
        <v>456</v>
      </c>
      <c r="J376" t="str">
        <f t="shared" si="10"/>
        <v/>
      </c>
      <c r="K376" t="str">
        <f t="shared" si="11"/>
        <v>Standard</v>
      </c>
    </row>
    <row r="377" spans="1:11" x14ac:dyDescent="0.3">
      <c r="A377">
        <v>1375</v>
      </c>
      <c r="B377" s="5">
        <v>46665</v>
      </c>
      <c r="C377" t="s">
        <v>465</v>
      </c>
      <c r="D377" t="s">
        <v>132</v>
      </c>
      <c r="E377" t="s">
        <v>459</v>
      </c>
      <c r="F377">
        <v>49</v>
      </c>
      <c r="G377">
        <v>300</v>
      </c>
      <c r="H377">
        <v>14700</v>
      </c>
      <c r="I377" t="s">
        <v>456</v>
      </c>
      <c r="J377" t="str">
        <f t="shared" si="10"/>
        <v/>
      </c>
      <c r="K377" t="str">
        <f t="shared" si="11"/>
        <v>High</v>
      </c>
    </row>
    <row r="378" spans="1:11" x14ac:dyDescent="0.3">
      <c r="A378">
        <v>1376</v>
      </c>
      <c r="B378" s="5">
        <v>46666</v>
      </c>
      <c r="C378" t="s">
        <v>462</v>
      </c>
      <c r="D378" t="s">
        <v>397</v>
      </c>
      <c r="E378" t="s">
        <v>459</v>
      </c>
      <c r="F378">
        <v>14</v>
      </c>
      <c r="G378">
        <v>300</v>
      </c>
      <c r="H378">
        <v>4200</v>
      </c>
      <c r="I378" t="s">
        <v>456</v>
      </c>
      <c r="J378" t="str">
        <f t="shared" si="10"/>
        <v/>
      </c>
      <c r="K378" t="str">
        <f t="shared" si="11"/>
        <v>Standard</v>
      </c>
    </row>
    <row r="379" spans="1:11" x14ac:dyDescent="0.3">
      <c r="A379">
        <v>1377</v>
      </c>
      <c r="B379" s="5">
        <v>46667</v>
      </c>
      <c r="C379" t="s">
        <v>454</v>
      </c>
      <c r="D379" t="s">
        <v>397</v>
      </c>
      <c r="E379" t="s">
        <v>461</v>
      </c>
      <c r="F379">
        <v>24</v>
      </c>
      <c r="G379">
        <v>80</v>
      </c>
      <c r="H379">
        <v>1920</v>
      </c>
      <c r="I379" t="s">
        <v>464</v>
      </c>
      <c r="J379" t="str">
        <f t="shared" si="10"/>
        <v/>
      </c>
      <c r="K379" t="str">
        <f t="shared" si="11"/>
        <v>Standard</v>
      </c>
    </row>
    <row r="380" spans="1:11" x14ac:dyDescent="0.3">
      <c r="A380">
        <v>1378</v>
      </c>
      <c r="B380" s="5">
        <v>46668</v>
      </c>
      <c r="C380" t="s">
        <v>465</v>
      </c>
      <c r="D380" t="s">
        <v>132</v>
      </c>
      <c r="E380" t="s">
        <v>455</v>
      </c>
      <c r="F380">
        <v>16</v>
      </c>
      <c r="G380">
        <v>1200</v>
      </c>
      <c r="H380">
        <v>19200</v>
      </c>
      <c r="I380" t="s">
        <v>464</v>
      </c>
      <c r="J380" t="str">
        <f t="shared" si="10"/>
        <v/>
      </c>
      <c r="K380" t="str">
        <f t="shared" si="11"/>
        <v>High</v>
      </c>
    </row>
    <row r="381" spans="1:11" x14ac:dyDescent="0.3">
      <c r="A381">
        <v>1379</v>
      </c>
      <c r="B381" s="5">
        <v>46669</v>
      </c>
      <c r="C381" t="s">
        <v>454</v>
      </c>
      <c r="D381" t="s">
        <v>129</v>
      </c>
      <c r="E381" t="s">
        <v>457</v>
      </c>
      <c r="F381">
        <v>4</v>
      </c>
      <c r="G381">
        <v>45</v>
      </c>
      <c r="H381">
        <v>180</v>
      </c>
      <c r="I381" t="s">
        <v>456</v>
      </c>
      <c r="J381" t="str">
        <f t="shared" si="10"/>
        <v/>
      </c>
      <c r="K381" t="str">
        <f t="shared" si="11"/>
        <v>Standard</v>
      </c>
    </row>
    <row r="382" spans="1:11" x14ac:dyDescent="0.3">
      <c r="A382">
        <v>1380</v>
      </c>
      <c r="B382" s="5">
        <v>46670</v>
      </c>
      <c r="C382" t="s">
        <v>462</v>
      </c>
      <c r="D382" t="s">
        <v>132</v>
      </c>
      <c r="E382" t="s">
        <v>457</v>
      </c>
      <c r="F382">
        <v>41</v>
      </c>
      <c r="G382">
        <v>45</v>
      </c>
      <c r="H382">
        <v>1845</v>
      </c>
      <c r="I382" t="s">
        <v>460</v>
      </c>
      <c r="J382" t="str">
        <f t="shared" si="10"/>
        <v>Call</v>
      </c>
      <c r="K382" t="str">
        <f t="shared" si="11"/>
        <v>Standard</v>
      </c>
    </row>
    <row r="383" spans="1:11" x14ac:dyDescent="0.3">
      <c r="A383">
        <v>1381</v>
      </c>
      <c r="B383" s="5">
        <v>46671</v>
      </c>
      <c r="C383" t="s">
        <v>454</v>
      </c>
      <c r="D383" t="s">
        <v>132</v>
      </c>
      <c r="E383" t="s">
        <v>455</v>
      </c>
      <c r="F383">
        <v>26</v>
      </c>
      <c r="G383">
        <v>1200</v>
      </c>
      <c r="H383">
        <v>31200</v>
      </c>
      <c r="I383" t="s">
        <v>464</v>
      </c>
      <c r="J383" t="str">
        <f t="shared" si="10"/>
        <v/>
      </c>
      <c r="K383" t="str">
        <f t="shared" si="11"/>
        <v>High</v>
      </c>
    </row>
    <row r="384" spans="1:11" x14ac:dyDescent="0.3">
      <c r="A384">
        <v>1382</v>
      </c>
      <c r="B384" s="5">
        <v>46672</v>
      </c>
      <c r="C384" t="s">
        <v>454</v>
      </c>
      <c r="D384" t="s">
        <v>132</v>
      </c>
      <c r="E384" t="s">
        <v>461</v>
      </c>
      <c r="F384">
        <v>14</v>
      </c>
      <c r="G384">
        <v>80</v>
      </c>
      <c r="H384">
        <v>1120</v>
      </c>
      <c r="I384" t="s">
        <v>456</v>
      </c>
      <c r="J384" t="str">
        <f t="shared" si="10"/>
        <v/>
      </c>
      <c r="K384" t="str">
        <f t="shared" si="11"/>
        <v>Standard</v>
      </c>
    </row>
    <row r="385" spans="1:11" x14ac:dyDescent="0.3">
      <c r="A385">
        <v>1383</v>
      </c>
      <c r="B385" s="5">
        <v>46673</v>
      </c>
      <c r="C385" t="s">
        <v>466</v>
      </c>
      <c r="D385" t="s">
        <v>130</v>
      </c>
      <c r="E385" t="s">
        <v>459</v>
      </c>
      <c r="F385">
        <v>29</v>
      </c>
      <c r="G385">
        <v>300</v>
      </c>
      <c r="H385">
        <v>8700</v>
      </c>
      <c r="I385" t="s">
        <v>464</v>
      </c>
      <c r="J385" t="str">
        <f t="shared" si="10"/>
        <v/>
      </c>
      <c r="K385" t="str">
        <f t="shared" si="11"/>
        <v>High</v>
      </c>
    </row>
    <row r="386" spans="1:11" x14ac:dyDescent="0.3">
      <c r="A386">
        <v>1384</v>
      </c>
      <c r="B386" s="5">
        <v>46674</v>
      </c>
      <c r="C386" t="s">
        <v>462</v>
      </c>
      <c r="D386" t="s">
        <v>129</v>
      </c>
      <c r="E386" t="s">
        <v>463</v>
      </c>
      <c r="F386">
        <v>19</v>
      </c>
      <c r="G386">
        <v>25</v>
      </c>
      <c r="H386">
        <v>475</v>
      </c>
      <c r="I386" t="s">
        <v>456</v>
      </c>
      <c r="J386" t="str">
        <f t="shared" si="10"/>
        <v/>
      </c>
      <c r="K386" t="str">
        <f t="shared" si="11"/>
        <v>Standard</v>
      </c>
    </row>
    <row r="387" spans="1:11" x14ac:dyDescent="0.3">
      <c r="A387">
        <v>1385</v>
      </c>
      <c r="B387" s="5">
        <v>46675</v>
      </c>
      <c r="C387" t="s">
        <v>454</v>
      </c>
      <c r="D387" t="s">
        <v>130</v>
      </c>
      <c r="E387" t="s">
        <v>463</v>
      </c>
      <c r="F387">
        <v>47</v>
      </c>
      <c r="G387">
        <v>25</v>
      </c>
      <c r="H387">
        <v>1175</v>
      </c>
      <c r="I387" t="s">
        <v>460</v>
      </c>
      <c r="J387" t="str">
        <f t="shared" si="10"/>
        <v>Call</v>
      </c>
      <c r="K387" t="str">
        <f t="shared" si="11"/>
        <v>Standard</v>
      </c>
    </row>
    <row r="388" spans="1:11" x14ac:dyDescent="0.3">
      <c r="A388">
        <v>1386</v>
      </c>
      <c r="B388" s="5">
        <v>46676</v>
      </c>
      <c r="C388" t="s">
        <v>466</v>
      </c>
      <c r="D388" t="s">
        <v>129</v>
      </c>
      <c r="E388" t="s">
        <v>461</v>
      </c>
      <c r="F388">
        <v>25</v>
      </c>
      <c r="G388">
        <v>80</v>
      </c>
      <c r="H388">
        <v>2000</v>
      </c>
      <c r="I388" t="s">
        <v>460</v>
      </c>
      <c r="J388" t="str">
        <f t="shared" ref="J388:J451" si="12">IF(I388="Pending","Call","")</f>
        <v>Call</v>
      </c>
      <c r="K388" t="str">
        <f t="shared" ref="K388:K451" si="13">IF(H388&gt;5000,"High","Standard")</f>
        <v>Standard</v>
      </c>
    </row>
    <row r="389" spans="1:11" x14ac:dyDescent="0.3">
      <c r="A389">
        <v>1387</v>
      </c>
      <c r="B389" s="5">
        <v>46677</v>
      </c>
      <c r="C389" t="s">
        <v>454</v>
      </c>
      <c r="D389" t="s">
        <v>397</v>
      </c>
      <c r="E389" t="s">
        <v>463</v>
      </c>
      <c r="F389">
        <v>9</v>
      </c>
      <c r="G389">
        <v>25</v>
      </c>
      <c r="H389">
        <v>225</v>
      </c>
      <c r="I389" t="s">
        <v>456</v>
      </c>
      <c r="J389" t="str">
        <f t="shared" si="12"/>
        <v/>
      </c>
      <c r="K389" t="str">
        <f t="shared" si="13"/>
        <v>Standard</v>
      </c>
    </row>
    <row r="390" spans="1:11" x14ac:dyDescent="0.3">
      <c r="A390">
        <v>1388</v>
      </c>
      <c r="B390" s="5">
        <v>46678</v>
      </c>
      <c r="C390" t="s">
        <v>465</v>
      </c>
      <c r="D390" t="s">
        <v>132</v>
      </c>
      <c r="E390" t="s">
        <v>459</v>
      </c>
      <c r="F390">
        <v>46</v>
      </c>
      <c r="G390">
        <v>300</v>
      </c>
      <c r="H390">
        <v>13800</v>
      </c>
      <c r="I390" t="s">
        <v>464</v>
      </c>
      <c r="J390" t="str">
        <f t="shared" si="12"/>
        <v/>
      </c>
      <c r="K390" t="str">
        <f t="shared" si="13"/>
        <v>High</v>
      </c>
    </row>
    <row r="391" spans="1:11" x14ac:dyDescent="0.3">
      <c r="A391">
        <v>1389</v>
      </c>
      <c r="B391" s="5">
        <v>46679</v>
      </c>
      <c r="C391" t="s">
        <v>466</v>
      </c>
      <c r="D391" t="s">
        <v>132</v>
      </c>
      <c r="E391" t="s">
        <v>459</v>
      </c>
      <c r="F391">
        <v>7</v>
      </c>
      <c r="G391">
        <v>300</v>
      </c>
      <c r="H391">
        <v>2100</v>
      </c>
      <c r="I391" t="s">
        <v>464</v>
      </c>
      <c r="J391" t="str">
        <f t="shared" si="12"/>
        <v/>
      </c>
      <c r="K391" t="str">
        <f t="shared" si="13"/>
        <v>Standard</v>
      </c>
    </row>
    <row r="392" spans="1:11" x14ac:dyDescent="0.3">
      <c r="A392">
        <v>1390</v>
      </c>
      <c r="B392" s="5">
        <v>46680</v>
      </c>
      <c r="C392" t="s">
        <v>458</v>
      </c>
      <c r="D392" t="s">
        <v>130</v>
      </c>
      <c r="E392" t="s">
        <v>463</v>
      </c>
      <c r="F392">
        <v>27</v>
      </c>
      <c r="G392">
        <v>25</v>
      </c>
      <c r="H392">
        <v>675</v>
      </c>
      <c r="I392" t="s">
        <v>460</v>
      </c>
      <c r="J392" t="str">
        <f t="shared" si="12"/>
        <v>Call</v>
      </c>
      <c r="K392" t="str">
        <f t="shared" si="13"/>
        <v>Standard</v>
      </c>
    </row>
    <row r="393" spans="1:11" x14ac:dyDescent="0.3">
      <c r="A393">
        <v>1391</v>
      </c>
      <c r="B393" s="5">
        <v>46681</v>
      </c>
      <c r="C393" t="s">
        <v>466</v>
      </c>
      <c r="D393" t="s">
        <v>132</v>
      </c>
      <c r="E393" t="s">
        <v>459</v>
      </c>
      <c r="F393">
        <v>23</v>
      </c>
      <c r="G393">
        <v>300</v>
      </c>
      <c r="H393">
        <v>6900</v>
      </c>
      <c r="I393" t="s">
        <v>460</v>
      </c>
      <c r="J393" t="str">
        <f t="shared" si="12"/>
        <v>Call</v>
      </c>
      <c r="K393" t="str">
        <f t="shared" si="13"/>
        <v>High</v>
      </c>
    </row>
    <row r="394" spans="1:11" x14ac:dyDescent="0.3">
      <c r="A394">
        <v>1392</v>
      </c>
      <c r="B394" s="5">
        <v>46682</v>
      </c>
      <c r="C394" t="s">
        <v>454</v>
      </c>
      <c r="D394" t="s">
        <v>132</v>
      </c>
      <c r="E394" t="s">
        <v>455</v>
      </c>
      <c r="F394">
        <v>8</v>
      </c>
      <c r="G394">
        <v>1200</v>
      </c>
      <c r="H394">
        <v>9600</v>
      </c>
      <c r="I394" t="s">
        <v>456</v>
      </c>
      <c r="J394" t="str">
        <f t="shared" si="12"/>
        <v/>
      </c>
      <c r="K394" t="str">
        <f t="shared" si="13"/>
        <v>High</v>
      </c>
    </row>
    <row r="395" spans="1:11" x14ac:dyDescent="0.3">
      <c r="A395">
        <v>1393</v>
      </c>
      <c r="B395" s="5">
        <v>46683</v>
      </c>
      <c r="C395" t="s">
        <v>458</v>
      </c>
      <c r="D395" t="s">
        <v>131</v>
      </c>
      <c r="E395" t="s">
        <v>459</v>
      </c>
      <c r="F395">
        <v>25</v>
      </c>
      <c r="G395">
        <v>300</v>
      </c>
      <c r="H395">
        <v>7500</v>
      </c>
      <c r="I395" t="s">
        <v>456</v>
      </c>
      <c r="J395" t="str">
        <f t="shared" si="12"/>
        <v/>
      </c>
      <c r="K395" t="str">
        <f t="shared" si="13"/>
        <v>High</v>
      </c>
    </row>
    <row r="396" spans="1:11" x14ac:dyDescent="0.3">
      <c r="A396">
        <v>1394</v>
      </c>
      <c r="B396" s="5">
        <v>46684</v>
      </c>
      <c r="C396" t="s">
        <v>458</v>
      </c>
      <c r="D396" t="s">
        <v>132</v>
      </c>
      <c r="E396" t="s">
        <v>461</v>
      </c>
      <c r="F396">
        <v>50</v>
      </c>
      <c r="G396">
        <v>80</v>
      </c>
      <c r="H396">
        <v>4000</v>
      </c>
      <c r="I396" t="s">
        <v>460</v>
      </c>
      <c r="J396" t="str">
        <f t="shared" si="12"/>
        <v>Call</v>
      </c>
      <c r="K396" t="str">
        <f t="shared" si="13"/>
        <v>Standard</v>
      </c>
    </row>
    <row r="397" spans="1:11" x14ac:dyDescent="0.3">
      <c r="A397">
        <v>1395</v>
      </c>
      <c r="B397" s="5">
        <v>46685</v>
      </c>
      <c r="C397" t="s">
        <v>465</v>
      </c>
      <c r="D397" t="s">
        <v>397</v>
      </c>
      <c r="E397" t="s">
        <v>455</v>
      </c>
      <c r="F397">
        <v>36</v>
      </c>
      <c r="G397">
        <v>1200</v>
      </c>
      <c r="H397">
        <v>43200</v>
      </c>
      <c r="I397" t="s">
        <v>460</v>
      </c>
      <c r="J397" t="str">
        <f t="shared" si="12"/>
        <v>Call</v>
      </c>
      <c r="K397" t="str">
        <f t="shared" si="13"/>
        <v>High</v>
      </c>
    </row>
    <row r="398" spans="1:11" x14ac:dyDescent="0.3">
      <c r="A398">
        <v>1396</v>
      </c>
      <c r="B398" s="5">
        <v>46686</v>
      </c>
      <c r="C398" t="s">
        <v>458</v>
      </c>
      <c r="D398" t="s">
        <v>132</v>
      </c>
      <c r="E398" t="s">
        <v>463</v>
      </c>
      <c r="F398">
        <v>4</v>
      </c>
      <c r="G398">
        <v>25</v>
      </c>
      <c r="H398">
        <v>100</v>
      </c>
      <c r="I398" t="s">
        <v>456</v>
      </c>
      <c r="J398" t="str">
        <f t="shared" si="12"/>
        <v/>
      </c>
      <c r="K398" t="str">
        <f t="shared" si="13"/>
        <v>Standard</v>
      </c>
    </row>
    <row r="399" spans="1:11" x14ac:dyDescent="0.3">
      <c r="A399">
        <v>1397</v>
      </c>
      <c r="B399" s="5">
        <v>46687</v>
      </c>
      <c r="C399" t="s">
        <v>466</v>
      </c>
      <c r="D399" t="s">
        <v>132</v>
      </c>
      <c r="E399" t="s">
        <v>459</v>
      </c>
      <c r="F399">
        <v>48</v>
      </c>
      <c r="G399">
        <v>300</v>
      </c>
      <c r="H399">
        <v>14400</v>
      </c>
      <c r="I399" t="s">
        <v>456</v>
      </c>
      <c r="J399" t="str">
        <f t="shared" si="12"/>
        <v/>
      </c>
      <c r="K399" t="str">
        <f t="shared" si="13"/>
        <v>High</v>
      </c>
    </row>
    <row r="400" spans="1:11" x14ac:dyDescent="0.3">
      <c r="A400">
        <v>1398</v>
      </c>
      <c r="B400" s="5">
        <v>46688</v>
      </c>
      <c r="C400" t="s">
        <v>454</v>
      </c>
      <c r="D400" t="s">
        <v>129</v>
      </c>
      <c r="E400" t="s">
        <v>459</v>
      </c>
      <c r="F400">
        <v>44</v>
      </c>
      <c r="G400">
        <v>300</v>
      </c>
      <c r="H400">
        <v>13200</v>
      </c>
      <c r="I400" t="s">
        <v>464</v>
      </c>
      <c r="J400" t="str">
        <f t="shared" si="12"/>
        <v/>
      </c>
      <c r="K400" t="str">
        <f t="shared" si="13"/>
        <v>High</v>
      </c>
    </row>
    <row r="401" spans="1:11" x14ac:dyDescent="0.3">
      <c r="A401">
        <v>1399</v>
      </c>
      <c r="B401" s="5">
        <v>46689</v>
      </c>
      <c r="C401" t="s">
        <v>454</v>
      </c>
      <c r="D401" t="s">
        <v>132</v>
      </c>
      <c r="E401" t="s">
        <v>463</v>
      </c>
      <c r="F401">
        <v>9</v>
      </c>
      <c r="G401">
        <v>25</v>
      </c>
      <c r="H401">
        <v>225</v>
      </c>
      <c r="I401" t="s">
        <v>456</v>
      </c>
      <c r="J401" t="str">
        <f t="shared" si="12"/>
        <v/>
      </c>
      <c r="K401" t="str">
        <f t="shared" si="13"/>
        <v>Standard</v>
      </c>
    </row>
    <row r="402" spans="1:11" x14ac:dyDescent="0.3">
      <c r="A402">
        <v>1400</v>
      </c>
      <c r="B402" s="5">
        <v>46690</v>
      </c>
      <c r="C402" t="s">
        <v>458</v>
      </c>
      <c r="D402" t="s">
        <v>130</v>
      </c>
      <c r="E402" t="s">
        <v>457</v>
      </c>
      <c r="F402">
        <v>14</v>
      </c>
      <c r="G402">
        <v>45</v>
      </c>
      <c r="H402">
        <v>630</v>
      </c>
      <c r="I402" t="s">
        <v>456</v>
      </c>
      <c r="J402" t="str">
        <f t="shared" si="12"/>
        <v/>
      </c>
      <c r="K402" t="str">
        <f t="shared" si="13"/>
        <v>Standard</v>
      </c>
    </row>
    <row r="403" spans="1:11" x14ac:dyDescent="0.3">
      <c r="A403">
        <v>1401</v>
      </c>
      <c r="B403" s="5">
        <v>46691</v>
      </c>
      <c r="C403" t="s">
        <v>458</v>
      </c>
      <c r="D403" t="s">
        <v>397</v>
      </c>
      <c r="E403" t="s">
        <v>455</v>
      </c>
      <c r="F403">
        <v>3</v>
      </c>
      <c r="G403">
        <v>1200</v>
      </c>
      <c r="H403">
        <v>3600</v>
      </c>
      <c r="I403" t="s">
        <v>464</v>
      </c>
      <c r="J403" t="str">
        <f t="shared" si="12"/>
        <v/>
      </c>
      <c r="K403" t="str">
        <f t="shared" si="13"/>
        <v>Standard</v>
      </c>
    </row>
    <row r="404" spans="1:11" x14ac:dyDescent="0.3">
      <c r="A404">
        <v>1402</v>
      </c>
      <c r="B404" s="5">
        <v>46692</v>
      </c>
      <c r="C404" t="s">
        <v>458</v>
      </c>
      <c r="D404" t="s">
        <v>397</v>
      </c>
      <c r="E404" t="s">
        <v>461</v>
      </c>
      <c r="F404">
        <v>21</v>
      </c>
      <c r="G404">
        <v>80</v>
      </c>
      <c r="H404">
        <v>1680</v>
      </c>
      <c r="I404" t="s">
        <v>460</v>
      </c>
      <c r="J404" t="str">
        <f t="shared" si="12"/>
        <v>Call</v>
      </c>
      <c r="K404" t="str">
        <f t="shared" si="13"/>
        <v>Standard</v>
      </c>
    </row>
    <row r="405" spans="1:11" x14ac:dyDescent="0.3">
      <c r="A405">
        <v>1403</v>
      </c>
      <c r="B405" s="5">
        <v>46693</v>
      </c>
      <c r="C405" t="s">
        <v>465</v>
      </c>
      <c r="D405" t="s">
        <v>129</v>
      </c>
      <c r="E405" t="s">
        <v>459</v>
      </c>
      <c r="F405">
        <v>27</v>
      </c>
      <c r="G405">
        <v>300</v>
      </c>
      <c r="H405">
        <v>8100</v>
      </c>
      <c r="I405" t="s">
        <v>456</v>
      </c>
      <c r="J405" t="str">
        <f t="shared" si="12"/>
        <v/>
      </c>
      <c r="K405" t="str">
        <f t="shared" si="13"/>
        <v>High</v>
      </c>
    </row>
    <row r="406" spans="1:11" x14ac:dyDescent="0.3">
      <c r="A406">
        <v>1404</v>
      </c>
      <c r="B406" s="5">
        <v>46694</v>
      </c>
      <c r="C406" t="s">
        <v>462</v>
      </c>
      <c r="D406" t="s">
        <v>130</v>
      </c>
      <c r="E406" t="s">
        <v>457</v>
      </c>
      <c r="F406">
        <v>33</v>
      </c>
      <c r="G406">
        <v>45</v>
      </c>
      <c r="H406">
        <v>1485</v>
      </c>
      <c r="I406" t="s">
        <v>456</v>
      </c>
      <c r="J406" t="str">
        <f t="shared" si="12"/>
        <v/>
      </c>
      <c r="K406" t="str">
        <f t="shared" si="13"/>
        <v>Standard</v>
      </c>
    </row>
    <row r="407" spans="1:11" x14ac:dyDescent="0.3">
      <c r="A407">
        <v>1405</v>
      </c>
      <c r="B407" s="5">
        <v>46695</v>
      </c>
      <c r="C407" t="s">
        <v>465</v>
      </c>
      <c r="D407" t="s">
        <v>132</v>
      </c>
      <c r="E407" t="s">
        <v>463</v>
      </c>
      <c r="F407">
        <v>36</v>
      </c>
      <c r="G407">
        <v>25</v>
      </c>
      <c r="H407">
        <v>900</v>
      </c>
      <c r="I407" t="s">
        <v>456</v>
      </c>
      <c r="J407" t="str">
        <f t="shared" si="12"/>
        <v/>
      </c>
      <c r="K407" t="str">
        <f t="shared" si="13"/>
        <v>Standard</v>
      </c>
    </row>
    <row r="408" spans="1:11" x14ac:dyDescent="0.3">
      <c r="A408">
        <v>1406</v>
      </c>
      <c r="B408" s="5">
        <v>46696</v>
      </c>
      <c r="C408" t="s">
        <v>458</v>
      </c>
      <c r="D408" t="s">
        <v>129</v>
      </c>
      <c r="E408" t="s">
        <v>459</v>
      </c>
      <c r="F408">
        <v>38</v>
      </c>
      <c r="G408">
        <v>300</v>
      </c>
      <c r="H408">
        <v>11400</v>
      </c>
      <c r="I408" t="s">
        <v>456</v>
      </c>
      <c r="J408" t="str">
        <f t="shared" si="12"/>
        <v/>
      </c>
      <c r="K408" t="str">
        <f t="shared" si="13"/>
        <v>High</v>
      </c>
    </row>
    <row r="409" spans="1:11" x14ac:dyDescent="0.3">
      <c r="A409">
        <v>1407</v>
      </c>
      <c r="B409" s="5">
        <v>46697</v>
      </c>
      <c r="C409" t="s">
        <v>454</v>
      </c>
      <c r="D409" t="s">
        <v>130</v>
      </c>
      <c r="E409" t="s">
        <v>457</v>
      </c>
      <c r="F409">
        <v>40</v>
      </c>
      <c r="G409">
        <v>45</v>
      </c>
      <c r="H409">
        <v>1800</v>
      </c>
      <c r="I409" t="s">
        <v>456</v>
      </c>
      <c r="J409" t="str">
        <f t="shared" si="12"/>
        <v/>
      </c>
      <c r="K409" t="str">
        <f t="shared" si="13"/>
        <v>Standard</v>
      </c>
    </row>
    <row r="410" spans="1:11" x14ac:dyDescent="0.3">
      <c r="A410">
        <v>1408</v>
      </c>
      <c r="B410" s="5">
        <v>46698</v>
      </c>
      <c r="C410" t="s">
        <v>466</v>
      </c>
      <c r="D410" t="s">
        <v>397</v>
      </c>
      <c r="E410" t="s">
        <v>461</v>
      </c>
      <c r="F410">
        <v>20</v>
      </c>
      <c r="G410">
        <v>80</v>
      </c>
      <c r="H410">
        <v>1600</v>
      </c>
      <c r="I410" t="s">
        <v>464</v>
      </c>
      <c r="J410" t="str">
        <f t="shared" si="12"/>
        <v/>
      </c>
      <c r="K410" t="str">
        <f t="shared" si="13"/>
        <v>Standard</v>
      </c>
    </row>
    <row r="411" spans="1:11" x14ac:dyDescent="0.3">
      <c r="A411">
        <v>1409</v>
      </c>
      <c r="B411" s="5">
        <v>46699</v>
      </c>
      <c r="C411" t="s">
        <v>462</v>
      </c>
      <c r="D411" t="s">
        <v>132</v>
      </c>
      <c r="E411" t="s">
        <v>457</v>
      </c>
      <c r="F411">
        <v>49</v>
      </c>
      <c r="G411">
        <v>45</v>
      </c>
      <c r="H411">
        <v>2205</v>
      </c>
      <c r="I411" t="s">
        <v>456</v>
      </c>
      <c r="J411" t="str">
        <f t="shared" si="12"/>
        <v/>
      </c>
      <c r="K411" t="str">
        <f t="shared" si="13"/>
        <v>Standard</v>
      </c>
    </row>
    <row r="412" spans="1:11" x14ac:dyDescent="0.3">
      <c r="A412">
        <v>1410</v>
      </c>
      <c r="B412" s="5">
        <v>46700</v>
      </c>
      <c r="C412" t="s">
        <v>458</v>
      </c>
      <c r="D412" t="s">
        <v>129</v>
      </c>
      <c r="E412" t="s">
        <v>457</v>
      </c>
      <c r="F412">
        <v>7</v>
      </c>
      <c r="G412">
        <v>45</v>
      </c>
      <c r="H412">
        <v>315</v>
      </c>
      <c r="I412" t="s">
        <v>456</v>
      </c>
      <c r="J412" t="str">
        <f t="shared" si="12"/>
        <v/>
      </c>
      <c r="K412" t="str">
        <f t="shared" si="13"/>
        <v>Standard</v>
      </c>
    </row>
    <row r="413" spans="1:11" x14ac:dyDescent="0.3">
      <c r="A413">
        <v>1411</v>
      </c>
      <c r="B413" s="5">
        <v>46701</v>
      </c>
      <c r="C413" t="s">
        <v>462</v>
      </c>
      <c r="D413" t="s">
        <v>132</v>
      </c>
      <c r="E413" t="s">
        <v>463</v>
      </c>
      <c r="F413">
        <v>49</v>
      </c>
      <c r="G413">
        <v>25</v>
      </c>
      <c r="H413">
        <v>1225</v>
      </c>
      <c r="I413" t="s">
        <v>456</v>
      </c>
      <c r="J413" t="str">
        <f t="shared" si="12"/>
        <v/>
      </c>
      <c r="K413" t="str">
        <f t="shared" si="13"/>
        <v>Standard</v>
      </c>
    </row>
    <row r="414" spans="1:11" x14ac:dyDescent="0.3">
      <c r="A414">
        <v>1412</v>
      </c>
      <c r="B414" s="5">
        <v>46702</v>
      </c>
      <c r="C414" t="s">
        <v>466</v>
      </c>
      <c r="D414" t="s">
        <v>397</v>
      </c>
      <c r="E414" t="s">
        <v>461</v>
      </c>
      <c r="F414">
        <v>21</v>
      </c>
      <c r="G414">
        <v>80</v>
      </c>
      <c r="H414">
        <v>1680</v>
      </c>
      <c r="I414" t="s">
        <v>456</v>
      </c>
      <c r="J414" t="str">
        <f t="shared" si="12"/>
        <v/>
      </c>
      <c r="K414" t="str">
        <f t="shared" si="13"/>
        <v>Standard</v>
      </c>
    </row>
    <row r="415" spans="1:11" x14ac:dyDescent="0.3">
      <c r="A415">
        <v>1413</v>
      </c>
      <c r="B415" s="5">
        <v>46703</v>
      </c>
      <c r="C415" t="s">
        <v>462</v>
      </c>
      <c r="D415" t="s">
        <v>132</v>
      </c>
      <c r="E415" t="s">
        <v>459</v>
      </c>
      <c r="F415">
        <v>30</v>
      </c>
      <c r="G415">
        <v>300</v>
      </c>
      <c r="H415">
        <v>9000</v>
      </c>
      <c r="I415" t="s">
        <v>456</v>
      </c>
      <c r="J415" t="str">
        <f t="shared" si="12"/>
        <v/>
      </c>
      <c r="K415" t="str">
        <f t="shared" si="13"/>
        <v>High</v>
      </c>
    </row>
    <row r="416" spans="1:11" x14ac:dyDescent="0.3">
      <c r="A416">
        <v>1414</v>
      </c>
      <c r="B416" s="5">
        <v>46704</v>
      </c>
      <c r="C416" t="s">
        <v>462</v>
      </c>
      <c r="D416" t="s">
        <v>129</v>
      </c>
      <c r="E416" t="s">
        <v>463</v>
      </c>
      <c r="F416">
        <v>12</v>
      </c>
      <c r="G416">
        <v>25</v>
      </c>
      <c r="H416">
        <v>300</v>
      </c>
      <c r="I416" t="s">
        <v>456</v>
      </c>
      <c r="J416" t="str">
        <f t="shared" si="12"/>
        <v/>
      </c>
      <c r="K416" t="str">
        <f t="shared" si="13"/>
        <v>Standard</v>
      </c>
    </row>
    <row r="417" spans="1:11" x14ac:dyDescent="0.3">
      <c r="A417">
        <v>1415</v>
      </c>
      <c r="B417" s="5">
        <v>46705</v>
      </c>
      <c r="C417" t="s">
        <v>466</v>
      </c>
      <c r="D417" t="s">
        <v>132</v>
      </c>
      <c r="E417" t="s">
        <v>459</v>
      </c>
      <c r="F417">
        <v>30</v>
      </c>
      <c r="G417">
        <v>300</v>
      </c>
      <c r="H417">
        <v>9000</v>
      </c>
      <c r="I417" t="s">
        <v>456</v>
      </c>
      <c r="J417" t="str">
        <f t="shared" si="12"/>
        <v/>
      </c>
      <c r="K417" t="str">
        <f t="shared" si="13"/>
        <v>High</v>
      </c>
    </row>
    <row r="418" spans="1:11" x14ac:dyDescent="0.3">
      <c r="A418">
        <v>1416</v>
      </c>
      <c r="B418" s="5">
        <v>46706</v>
      </c>
      <c r="C418" t="s">
        <v>465</v>
      </c>
      <c r="D418" t="s">
        <v>129</v>
      </c>
      <c r="E418" t="s">
        <v>457</v>
      </c>
      <c r="F418">
        <v>2</v>
      </c>
      <c r="G418">
        <v>45</v>
      </c>
      <c r="H418">
        <v>90</v>
      </c>
      <c r="I418" t="s">
        <v>456</v>
      </c>
      <c r="J418" t="str">
        <f t="shared" si="12"/>
        <v/>
      </c>
      <c r="K418" t="str">
        <f t="shared" si="13"/>
        <v>Standard</v>
      </c>
    </row>
    <row r="419" spans="1:11" x14ac:dyDescent="0.3">
      <c r="A419">
        <v>1417</v>
      </c>
      <c r="B419" s="5">
        <v>46707</v>
      </c>
      <c r="C419" t="s">
        <v>466</v>
      </c>
      <c r="D419" t="s">
        <v>397</v>
      </c>
      <c r="E419" t="s">
        <v>459</v>
      </c>
      <c r="F419">
        <v>1</v>
      </c>
      <c r="G419">
        <v>300</v>
      </c>
      <c r="H419">
        <v>300</v>
      </c>
      <c r="I419" t="s">
        <v>460</v>
      </c>
      <c r="J419" t="str">
        <f t="shared" si="12"/>
        <v>Call</v>
      </c>
      <c r="K419" t="str">
        <f t="shared" si="13"/>
        <v>Standard</v>
      </c>
    </row>
    <row r="420" spans="1:11" x14ac:dyDescent="0.3">
      <c r="A420">
        <v>1418</v>
      </c>
      <c r="B420" s="5">
        <v>46708</v>
      </c>
      <c r="C420" t="s">
        <v>458</v>
      </c>
      <c r="D420" t="s">
        <v>397</v>
      </c>
      <c r="E420" t="s">
        <v>455</v>
      </c>
      <c r="F420">
        <v>47</v>
      </c>
      <c r="G420">
        <v>1200</v>
      </c>
      <c r="H420">
        <v>56400</v>
      </c>
      <c r="I420" t="s">
        <v>456</v>
      </c>
      <c r="J420" t="str">
        <f t="shared" si="12"/>
        <v/>
      </c>
      <c r="K420" t="str">
        <f t="shared" si="13"/>
        <v>High</v>
      </c>
    </row>
    <row r="421" spans="1:11" x14ac:dyDescent="0.3">
      <c r="A421">
        <v>1419</v>
      </c>
      <c r="B421" s="5">
        <v>46709</v>
      </c>
      <c r="C421" t="s">
        <v>466</v>
      </c>
      <c r="D421" t="s">
        <v>130</v>
      </c>
      <c r="E421" t="s">
        <v>455</v>
      </c>
      <c r="F421">
        <v>1</v>
      </c>
      <c r="G421">
        <v>1200</v>
      </c>
      <c r="H421">
        <v>1200</v>
      </c>
      <c r="I421" t="s">
        <v>460</v>
      </c>
      <c r="J421" t="str">
        <f t="shared" si="12"/>
        <v>Call</v>
      </c>
      <c r="K421" t="str">
        <f t="shared" si="13"/>
        <v>Standard</v>
      </c>
    </row>
    <row r="422" spans="1:11" x14ac:dyDescent="0.3">
      <c r="A422">
        <v>1420</v>
      </c>
      <c r="B422" s="5">
        <v>46710</v>
      </c>
      <c r="C422" t="s">
        <v>454</v>
      </c>
      <c r="D422" t="s">
        <v>397</v>
      </c>
      <c r="E422" t="s">
        <v>461</v>
      </c>
      <c r="F422">
        <v>40</v>
      </c>
      <c r="G422">
        <v>80</v>
      </c>
      <c r="H422">
        <v>3200</v>
      </c>
      <c r="I422" t="s">
        <v>456</v>
      </c>
      <c r="J422" t="str">
        <f t="shared" si="12"/>
        <v/>
      </c>
      <c r="K422" t="str">
        <f t="shared" si="13"/>
        <v>Standard</v>
      </c>
    </row>
    <row r="423" spans="1:11" x14ac:dyDescent="0.3">
      <c r="A423">
        <v>1421</v>
      </c>
      <c r="B423" s="5">
        <v>46711</v>
      </c>
      <c r="C423" t="s">
        <v>466</v>
      </c>
      <c r="D423" t="s">
        <v>130</v>
      </c>
      <c r="E423" t="s">
        <v>461</v>
      </c>
      <c r="F423">
        <v>44</v>
      </c>
      <c r="G423">
        <v>80</v>
      </c>
      <c r="H423">
        <v>3520</v>
      </c>
      <c r="I423" t="s">
        <v>456</v>
      </c>
      <c r="J423" t="str">
        <f t="shared" si="12"/>
        <v/>
      </c>
      <c r="K423" t="str">
        <f t="shared" si="13"/>
        <v>Standard</v>
      </c>
    </row>
    <row r="424" spans="1:11" x14ac:dyDescent="0.3">
      <c r="A424">
        <v>1422</v>
      </c>
      <c r="B424" s="5">
        <v>46712</v>
      </c>
      <c r="C424" t="s">
        <v>458</v>
      </c>
      <c r="D424" t="s">
        <v>130</v>
      </c>
      <c r="E424" t="s">
        <v>461</v>
      </c>
      <c r="F424">
        <v>2</v>
      </c>
      <c r="G424">
        <v>80</v>
      </c>
      <c r="H424">
        <v>160</v>
      </c>
      <c r="I424" t="s">
        <v>464</v>
      </c>
      <c r="J424" t="str">
        <f t="shared" si="12"/>
        <v/>
      </c>
      <c r="K424" t="str">
        <f t="shared" si="13"/>
        <v>Standard</v>
      </c>
    </row>
    <row r="425" spans="1:11" x14ac:dyDescent="0.3">
      <c r="A425">
        <v>1423</v>
      </c>
      <c r="B425" s="5">
        <v>46713</v>
      </c>
      <c r="C425" t="s">
        <v>454</v>
      </c>
      <c r="D425" t="s">
        <v>132</v>
      </c>
      <c r="E425" t="s">
        <v>455</v>
      </c>
      <c r="F425">
        <v>45</v>
      </c>
      <c r="G425">
        <v>1200</v>
      </c>
      <c r="H425">
        <v>54000</v>
      </c>
      <c r="I425" t="s">
        <v>464</v>
      </c>
      <c r="J425" t="str">
        <f t="shared" si="12"/>
        <v/>
      </c>
      <c r="K425" t="str">
        <f t="shared" si="13"/>
        <v>High</v>
      </c>
    </row>
    <row r="426" spans="1:11" x14ac:dyDescent="0.3">
      <c r="A426">
        <v>1424</v>
      </c>
      <c r="B426" s="5">
        <v>46714</v>
      </c>
      <c r="C426" t="s">
        <v>465</v>
      </c>
      <c r="D426" t="s">
        <v>131</v>
      </c>
      <c r="E426" t="s">
        <v>457</v>
      </c>
      <c r="F426">
        <v>41</v>
      </c>
      <c r="G426">
        <v>45</v>
      </c>
      <c r="H426">
        <v>1845</v>
      </c>
      <c r="I426" t="s">
        <v>456</v>
      </c>
      <c r="J426" t="str">
        <f t="shared" si="12"/>
        <v/>
      </c>
      <c r="K426" t="str">
        <f t="shared" si="13"/>
        <v>Standard</v>
      </c>
    </row>
    <row r="427" spans="1:11" x14ac:dyDescent="0.3">
      <c r="A427">
        <v>1425</v>
      </c>
      <c r="B427" s="5">
        <v>46715</v>
      </c>
      <c r="C427" t="s">
        <v>466</v>
      </c>
      <c r="D427" t="s">
        <v>131</v>
      </c>
      <c r="E427" t="s">
        <v>463</v>
      </c>
      <c r="F427">
        <v>3</v>
      </c>
      <c r="G427">
        <v>25</v>
      </c>
      <c r="H427">
        <v>75</v>
      </c>
      <c r="I427" t="s">
        <v>460</v>
      </c>
      <c r="J427" t="str">
        <f t="shared" si="12"/>
        <v>Call</v>
      </c>
      <c r="K427" t="str">
        <f t="shared" si="13"/>
        <v>Standard</v>
      </c>
    </row>
    <row r="428" spans="1:11" x14ac:dyDescent="0.3">
      <c r="A428">
        <v>1426</v>
      </c>
      <c r="B428" s="5">
        <v>46716</v>
      </c>
      <c r="C428" t="s">
        <v>465</v>
      </c>
      <c r="D428" t="s">
        <v>397</v>
      </c>
      <c r="E428" t="s">
        <v>457</v>
      </c>
      <c r="F428">
        <v>25</v>
      </c>
      <c r="G428">
        <v>45</v>
      </c>
      <c r="H428">
        <v>1125</v>
      </c>
      <c r="I428" t="s">
        <v>464</v>
      </c>
      <c r="J428" t="str">
        <f t="shared" si="12"/>
        <v/>
      </c>
      <c r="K428" t="str">
        <f t="shared" si="13"/>
        <v>Standard</v>
      </c>
    </row>
    <row r="429" spans="1:11" x14ac:dyDescent="0.3">
      <c r="A429">
        <v>1427</v>
      </c>
      <c r="B429" s="5">
        <v>46717</v>
      </c>
      <c r="C429" t="s">
        <v>462</v>
      </c>
      <c r="D429" t="s">
        <v>397</v>
      </c>
      <c r="E429" t="s">
        <v>459</v>
      </c>
      <c r="F429">
        <v>22</v>
      </c>
      <c r="G429">
        <v>300</v>
      </c>
      <c r="H429">
        <v>6600</v>
      </c>
      <c r="I429" t="s">
        <v>456</v>
      </c>
      <c r="J429" t="str">
        <f t="shared" si="12"/>
        <v/>
      </c>
      <c r="K429" t="str">
        <f t="shared" si="13"/>
        <v>High</v>
      </c>
    </row>
    <row r="430" spans="1:11" x14ac:dyDescent="0.3">
      <c r="A430">
        <v>1428</v>
      </c>
      <c r="B430" s="5">
        <v>46718</v>
      </c>
      <c r="C430" t="s">
        <v>458</v>
      </c>
      <c r="D430" t="s">
        <v>130</v>
      </c>
      <c r="E430" t="s">
        <v>455</v>
      </c>
      <c r="F430">
        <v>5</v>
      </c>
      <c r="G430">
        <v>1200</v>
      </c>
      <c r="H430">
        <v>6000</v>
      </c>
      <c r="I430" t="s">
        <v>464</v>
      </c>
      <c r="J430" t="str">
        <f t="shared" si="12"/>
        <v/>
      </c>
      <c r="K430" t="str">
        <f t="shared" si="13"/>
        <v>High</v>
      </c>
    </row>
    <row r="431" spans="1:11" x14ac:dyDescent="0.3">
      <c r="A431">
        <v>1429</v>
      </c>
      <c r="B431" s="5">
        <v>46719</v>
      </c>
      <c r="C431" t="s">
        <v>466</v>
      </c>
      <c r="D431" t="s">
        <v>130</v>
      </c>
      <c r="E431" t="s">
        <v>461</v>
      </c>
      <c r="F431">
        <v>50</v>
      </c>
      <c r="G431">
        <v>80</v>
      </c>
      <c r="H431">
        <v>4000</v>
      </c>
      <c r="I431" t="s">
        <v>464</v>
      </c>
      <c r="J431" t="str">
        <f t="shared" si="12"/>
        <v/>
      </c>
      <c r="K431" t="str">
        <f t="shared" si="13"/>
        <v>Standard</v>
      </c>
    </row>
    <row r="432" spans="1:11" x14ac:dyDescent="0.3">
      <c r="A432">
        <v>1430</v>
      </c>
      <c r="B432" s="5">
        <v>46720</v>
      </c>
      <c r="C432" t="s">
        <v>458</v>
      </c>
      <c r="D432" t="s">
        <v>130</v>
      </c>
      <c r="E432" t="s">
        <v>457</v>
      </c>
      <c r="F432">
        <v>1</v>
      </c>
      <c r="G432">
        <v>45</v>
      </c>
      <c r="H432">
        <v>45</v>
      </c>
      <c r="I432" t="s">
        <v>456</v>
      </c>
      <c r="J432" t="str">
        <f t="shared" si="12"/>
        <v/>
      </c>
      <c r="K432" t="str">
        <f t="shared" si="13"/>
        <v>Standard</v>
      </c>
    </row>
    <row r="433" spans="1:11" x14ac:dyDescent="0.3">
      <c r="A433">
        <v>1431</v>
      </c>
      <c r="B433" s="5">
        <v>46721</v>
      </c>
      <c r="C433" t="s">
        <v>466</v>
      </c>
      <c r="D433" t="s">
        <v>131</v>
      </c>
      <c r="E433" t="s">
        <v>455</v>
      </c>
      <c r="F433">
        <v>24</v>
      </c>
      <c r="G433">
        <v>1200</v>
      </c>
      <c r="H433">
        <v>28800</v>
      </c>
      <c r="I433" t="s">
        <v>464</v>
      </c>
      <c r="J433" t="str">
        <f t="shared" si="12"/>
        <v/>
      </c>
      <c r="K433" t="str">
        <f t="shared" si="13"/>
        <v>High</v>
      </c>
    </row>
    <row r="434" spans="1:11" x14ac:dyDescent="0.3">
      <c r="A434">
        <v>1432</v>
      </c>
      <c r="B434" s="5">
        <v>46722</v>
      </c>
      <c r="C434" t="s">
        <v>465</v>
      </c>
      <c r="D434" t="s">
        <v>130</v>
      </c>
      <c r="E434" t="s">
        <v>457</v>
      </c>
      <c r="F434">
        <v>7</v>
      </c>
      <c r="G434">
        <v>45</v>
      </c>
      <c r="H434">
        <v>315</v>
      </c>
      <c r="I434" t="s">
        <v>460</v>
      </c>
      <c r="J434" t="str">
        <f t="shared" si="12"/>
        <v>Call</v>
      </c>
      <c r="K434" t="str">
        <f t="shared" si="13"/>
        <v>Standard</v>
      </c>
    </row>
    <row r="435" spans="1:11" x14ac:dyDescent="0.3">
      <c r="A435">
        <v>1433</v>
      </c>
      <c r="B435" s="5">
        <v>46723</v>
      </c>
      <c r="C435" t="s">
        <v>465</v>
      </c>
      <c r="D435" t="s">
        <v>131</v>
      </c>
      <c r="E435" t="s">
        <v>459</v>
      </c>
      <c r="F435">
        <v>30</v>
      </c>
      <c r="G435">
        <v>300</v>
      </c>
      <c r="H435">
        <v>9000</v>
      </c>
      <c r="I435" t="s">
        <v>456</v>
      </c>
      <c r="J435" t="str">
        <f t="shared" si="12"/>
        <v/>
      </c>
      <c r="K435" t="str">
        <f t="shared" si="13"/>
        <v>High</v>
      </c>
    </row>
    <row r="436" spans="1:11" x14ac:dyDescent="0.3">
      <c r="A436">
        <v>1434</v>
      </c>
      <c r="B436" s="5">
        <v>46724</v>
      </c>
      <c r="C436" t="s">
        <v>454</v>
      </c>
      <c r="D436" t="s">
        <v>129</v>
      </c>
      <c r="E436" t="s">
        <v>457</v>
      </c>
      <c r="F436">
        <v>27</v>
      </c>
      <c r="G436">
        <v>45</v>
      </c>
      <c r="H436">
        <v>1215</v>
      </c>
      <c r="I436" t="s">
        <v>456</v>
      </c>
      <c r="J436" t="str">
        <f t="shared" si="12"/>
        <v/>
      </c>
      <c r="K436" t="str">
        <f t="shared" si="13"/>
        <v>Standard</v>
      </c>
    </row>
    <row r="437" spans="1:11" x14ac:dyDescent="0.3">
      <c r="A437">
        <v>1435</v>
      </c>
      <c r="B437" s="5">
        <v>46725</v>
      </c>
      <c r="C437" t="s">
        <v>454</v>
      </c>
      <c r="D437" t="s">
        <v>131</v>
      </c>
      <c r="E437" t="s">
        <v>459</v>
      </c>
      <c r="F437">
        <v>7</v>
      </c>
      <c r="G437">
        <v>300</v>
      </c>
      <c r="H437">
        <v>2100</v>
      </c>
      <c r="I437" t="s">
        <v>456</v>
      </c>
      <c r="J437" t="str">
        <f t="shared" si="12"/>
        <v/>
      </c>
      <c r="K437" t="str">
        <f t="shared" si="13"/>
        <v>Standard</v>
      </c>
    </row>
    <row r="438" spans="1:11" x14ac:dyDescent="0.3">
      <c r="A438">
        <v>1436</v>
      </c>
      <c r="B438" s="5">
        <v>46726</v>
      </c>
      <c r="C438" t="s">
        <v>465</v>
      </c>
      <c r="D438" t="s">
        <v>132</v>
      </c>
      <c r="E438" t="s">
        <v>459</v>
      </c>
      <c r="F438">
        <v>45</v>
      </c>
      <c r="G438">
        <v>300</v>
      </c>
      <c r="H438">
        <v>13500</v>
      </c>
      <c r="I438" t="s">
        <v>456</v>
      </c>
      <c r="J438" t="str">
        <f t="shared" si="12"/>
        <v/>
      </c>
      <c r="K438" t="str">
        <f t="shared" si="13"/>
        <v>High</v>
      </c>
    </row>
    <row r="439" spans="1:11" x14ac:dyDescent="0.3">
      <c r="A439">
        <v>1437</v>
      </c>
      <c r="B439" s="5">
        <v>46727</v>
      </c>
      <c r="C439" t="s">
        <v>466</v>
      </c>
      <c r="D439" t="s">
        <v>397</v>
      </c>
      <c r="E439" t="s">
        <v>457</v>
      </c>
      <c r="F439">
        <v>18</v>
      </c>
      <c r="G439">
        <v>45</v>
      </c>
      <c r="H439">
        <v>810</v>
      </c>
      <c r="I439" t="s">
        <v>464</v>
      </c>
      <c r="J439" t="str">
        <f t="shared" si="12"/>
        <v/>
      </c>
      <c r="K439" t="str">
        <f t="shared" si="13"/>
        <v>Standard</v>
      </c>
    </row>
    <row r="440" spans="1:11" x14ac:dyDescent="0.3">
      <c r="A440">
        <v>1438</v>
      </c>
      <c r="B440" s="5">
        <v>46728</v>
      </c>
      <c r="C440" t="s">
        <v>458</v>
      </c>
      <c r="D440" t="s">
        <v>132</v>
      </c>
      <c r="E440" t="s">
        <v>459</v>
      </c>
      <c r="F440">
        <v>27</v>
      </c>
      <c r="G440">
        <v>300</v>
      </c>
      <c r="H440">
        <v>8100</v>
      </c>
      <c r="I440" t="s">
        <v>456</v>
      </c>
      <c r="J440" t="str">
        <f t="shared" si="12"/>
        <v/>
      </c>
      <c r="K440" t="str">
        <f t="shared" si="13"/>
        <v>High</v>
      </c>
    </row>
    <row r="441" spans="1:11" x14ac:dyDescent="0.3">
      <c r="A441">
        <v>1439</v>
      </c>
      <c r="B441" s="5">
        <v>46729</v>
      </c>
      <c r="C441" t="s">
        <v>466</v>
      </c>
      <c r="D441" t="s">
        <v>397</v>
      </c>
      <c r="E441" t="s">
        <v>459</v>
      </c>
      <c r="F441">
        <v>23</v>
      </c>
      <c r="G441">
        <v>300</v>
      </c>
      <c r="H441">
        <v>6900</v>
      </c>
      <c r="I441" t="s">
        <v>456</v>
      </c>
      <c r="J441" t="str">
        <f t="shared" si="12"/>
        <v/>
      </c>
      <c r="K441" t="str">
        <f t="shared" si="13"/>
        <v>High</v>
      </c>
    </row>
    <row r="442" spans="1:11" x14ac:dyDescent="0.3">
      <c r="A442">
        <v>1440</v>
      </c>
      <c r="B442" s="5">
        <v>46730</v>
      </c>
      <c r="C442" t="s">
        <v>454</v>
      </c>
      <c r="D442" t="s">
        <v>397</v>
      </c>
      <c r="E442" t="s">
        <v>459</v>
      </c>
      <c r="F442">
        <v>8</v>
      </c>
      <c r="G442">
        <v>300</v>
      </c>
      <c r="H442">
        <v>2400</v>
      </c>
      <c r="I442" t="s">
        <v>464</v>
      </c>
      <c r="J442" t="str">
        <f t="shared" si="12"/>
        <v/>
      </c>
      <c r="K442" t="str">
        <f t="shared" si="13"/>
        <v>Standard</v>
      </c>
    </row>
    <row r="443" spans="1:11" x14ac:dyDescent="0.3">
      <c r="A443">
        <v>1441</v>
      </c>
      <c r="B443" s="5">
        <v>46731</v>
      </c>
      <c r="C443" t="s">
        <v>466</v>
      </c>
      <c r="D443" t="s">
        <v>129</v>
      </c>
      <c r="E443" t="s">
        <v>461</v>
      </c>
      <c r="F443">
        <v>3</v>
      </c>
      <c r="G443">
        <v>80</v>
      </c>
      <c r="H443">
        <v>240</v>
      </c>
      <c r="I443" t="s">
        <v>460</v>
      </c>
      <c r="J443" t="str">
        <f t="shared" si="12"/>
        <v>Call</v>
      </c>
      <c r="K443" t="str">
        <f t="shared" si="13"/>
        <v>Standard</v>
      </c>
    </row>
    <row r="444" spans="1:11" x14ac:dyDescent="0.3">
      <c r="A444">
        <v>1442</v>
      </c>
      <c r="B444" s="5">
        <v>46732</v>
      </c>
      <c r="C444" t="s">
        <v>454</v>
      </c>
      <c r="D444" t="s">
        <v>132</v>
      </c>
      <c r="E444" t="s">
        <v>455</v>
      </c>
      <c r="F444">
        <v>43</v>
      </c>
      <c r="G444">
        <v>1200</v>
      </c>
      <c r="H444">
        <v>51600</v>
      </c>
      <c r="I444" t="s">
        <v>456</v>
      </c>
      <c r="J444" t="str">
        <f t="shared" si="12"/>
        <v/>
      </c>
      <c r="K444" t="str">
        <f t="shared" si="13"/>
        <v>High</v>
      </c>
    </row>
    <row r="445" spans="1:11" x14ac:dyDescent="0.3">
      <c r="A445">
        <v>1443</v>
      </c>
      <c r="B445" s="5">
        <v>46733</v>
      </c>
      <c r="C445" t="s">
        <v>466</v>
      </c>
      <c r="D445" t="s">
        <v>130</v>
      </c>
      <c r="E445" t="s">
        <v>459</v>
      </c>
      <c r="F445">
        <v>31</v>
      </c>
      <c r="G445">
        <v>300</v>
      </c>
      <c r="H445">
        <v>9300</v>
      </c>
      <c r="I445" t="s">
        <v>464</v>
      </c>
      <c r="J445" t="str">
        <f t="shared" si="12"/>
        <v/>
      </c>
      <c r="K445" t="str">
        <f t="shared" si="13"/>
        <v>High</v>
      </c>
    </row>
    <row r="446" spans="1:11" x14ac:dyDescent="0.3">
      <c r="A446">
        <v>1444</v>
      </c>
      <c r="B446" s="5">
        <v>46734</v>
      </c>
      <c r="C446" t="s">
        <v>465</v>
      </c>
      <c r="D446" t="s">
        <v>129</v>
      </c>
      <c r="E446" t="s">
        <v>461</v>
      </c>
      <c r="F446">
        <v>49</v>
      </c>
      <c r="G446">
        <v>80</v>
      </c>
      <c r="H446">
        <v>3920</v>
      </c>
      <c r="I446" t="s">
        <v>456</v>
      </c>
      <c r="J446" t="str">
        <f t="shared" si="12"/>
        <v/>
      </c>
      <c r="K446" t="str">
        <f t="shared" si="13"/>
        <v>Standard</v>
      </c>
    </row>
    <row r="447" spans="1:11" x14ac:dyDescent="0.3">
      <c r="A447">
        <v>1445</v>
      </c>
      <c r="B447" s="5">
        <v>46735</v>
      </c>
      <c r="C447" t="s">
        <v>458</v>
      </c>
      <c r="D447" t="s">
        <v>130</v>
      </c>
      <c r="E447" t="s">
        <v>457</v>
      </c>
      <c r="F447">
        <v>20</v>
      </c>
      <c r="G447">
        <v>45</v>
      </c>
      <c r="H447">
        <v>900</v>
      </c>
      <c r="I447" t="s">
        <v>460</v>
      </c>
      <c r="J447" t="str">
        <f t="shared" si="12"/>
        <v>Call</v>
      </c>
      <c r="K447" t="str">
        <f t="shared" si="13"/>
        <v>Standard</v>
      </c>
    </row>
    <row r="448" spans="1:11" x14ac:dyDescent="0.3">
      <c r="A448">
        <v>1446</v>
      </c>
      <c r="B448" s="5">
        <v>46736</v>
      </c>
      <c r="C448" t="s">
        <v>466</v>
      </c>
      <c r="D448" t="s">
        <v>397</v>
      </c>
      <c r="E448" t="s">
        <v>461</v>
      </c>
      <c r="F448">
        <v>19</v>
      </c>
      <c r="G448">
        <v>80</v>
      </c>
      <c r="H448">
        <v>1520</v>
      </c>
      <c r="I448" t="s">
        <v>464</v>
      </c>
      <c r="J448" t="str">
        <f t="shared" si="12"/>
        <v/>
      </c>
      <c r="K448" t="str">
        <f t="shared" si="13"/>
        <v>Standard</v>
      </c>
    </row>
    <row r="449" spans="1:11" x14ac:dyDescent="0.3">
      <c r="A449">
        <v>1447</v>
      </c>
      <c r="B449" s="5">
        <v>46737</v>
      </c>
      <c r="C449" t="s">
        <v>458</v>
      </c>
      <c r="D449" t="s">
        <v>131</v>
      </c>
      <c r="E449" t="s">
        <v>461</v>
      </c>
      <c r="F449">
        <v>35</v>
      </c>
      <c r="G449">
        <v>80</v>
      </c>
      <c r="H449">
        <v>2800</v>
      </c>
      <c r="I449" t="s">
        <v>460</v>
      </c>
      <c r="J449" t="str">
        <f t="shared" si="12"/>
        <v>Call</v>
      </c>
      <c r="K449" t="str">
        <f t="shared" si="13"/>
        <v>Standard</v>
      </c>
    </row>
    <row r="450" spans="1:11" x14ac:dyDescent="0.3">
      <c r="A450">
        <v>1448</v>
      </c>
      <c r="B450" s="5">
        <v>46738</v>
      </c>
      <c r="C450" t="s">
        <v>454</v>
      </c>
      <c r="D450" t="s">
        <v>131</v>
      </c>
      <c r="E450" t="s">
        <v>457</v>
      </c>
      <c r="F450">
        <v>46</v>
      </c>
      <c r="G450">
        <v>45</v>
      </c>
      <c r="H450">
        <v>2070</v>
      </c>
      <c r="I450" t="s">
        <v>464</v>
      </c>
      <c r="J450" t="str">
        <f t="shared" si="12"/>
        <v/>
      </c>
      <c r="K450" t="str">
        <f t="shared" si="13"/>
        <v>Standard</v>
      </c>
    </row>
    <row r="451" spans="1:11" x14ac:dyDescent="0.3">
      <c r="A451">
        <v>1449</v>
      </c>
      <c r="B451" s="5">
        <v>46739</v>
      </c>
      <c r="C451" t="s">
        <v>466</v>
      </c>
      <c r="D451" t="s">
        <v>130</v>
      </c>
      <c r="E451" t="s">
        <v>459</v>
      </c>
      <c r="F451">
        <v>48</v>
      </c>
      <c r="G451">
        <v>300</v>
      </c>
      <c r="H451">
        <v>14400</v>
      </c>
      <c r="I451" t="s">
        <v>460</v>
      </c>
      <c r="J451" t="str">
        <f t="shared" si="12"/>
        <v>Call</v>
      </c>
      <c r="K451" t="str">
        <f t="shared" si="13"/>
        <v>High</v>
      </c>
    </row>
    <row r="452" spans="1:11" x14ac:dyDescent="0.3">
      <c r="A452">
        <v>1450</v>
      </c>
      <c r="B452" s="5">
        <v>46740</v>
      </c>
      <c r="C452" t="s">
        <v>454</v>
      </c>
      <c r="D452" t="s">
        <v>130</v>
      </c>
      <c r="E452" t="s">
        <v>459</v>
      </c>
      <c r="F452">
        <v>23</v>
      </c>
      <c r="G452">
        <v>300</v>
      </c>
      <c r="H452">
        <v>6900</v>
      </c>
      <c r="I452" t="s">
        <v>456</v>
      </c>
      <c r="J452" t="str">
        <f t="shared" ref="J452:J502" si="14">IF(I452="Pending","Call","")</f>
        <v/>
      </c>
      <c r="K452" t="str">
        <f t="shared" ref="K452:K502" si="15">IF(H452&gt;5000,"High","Standard")</f>
        <v>High</v>
      </c>
    </row>
    <row r="453" spans="1:11" x14ac:dyDescent="0.3">
      <c r="A453">
        <v>1451</v>
      </c>
      <c r="B453" s="5">
        <v>46741</v>
      </c>
      <c r="C453" t="s">
        <v>466</v>
      </c>
      <c r="D453" t="s">
        <v>129</v>
      </c>
      <c r="E453" t="s">
        <v>457</v>
      </c>
      <c r="F453">
        <v>45</v>
      </c>
      <c r="G453">
        <v>45</v>
      </c>
      <c r="H453">
        <v>2025</v>
      </c>
      <c r="I453" t="s">
        <v>456</v>
      </c>
      <c r="J453" t="str">
        <f t="shared" si="14"/>
        <v/>
      </c>
      <c r="K453" t="str">
        <f t="shared" si="15"/>
        <v>Standard</v>
      </c>
    </row>
    <row r="454" spans="1:11" x14ac:dyDescent="0.3">
      <c r="A454">
        <v>1452</v>
      </c>
      <c r="B454" s="5">
        <v>46742</v>
      </c>
      <c r="C454" t="s">
        <v>466</v>
      </c>
      <c r="D454" t="s">
        <v>130</v>
      </c>
      <c r="E454" t="s">
        <v>461</v>
      </c>
      <c r="F454">
        <v>18</v>
      </c>
      <c r="G454">
        <v>80</v>
      </c>
      <c r="H454">
        <v>1440</v>
      </c>
      <c r="I454" t="s">
        <v>456</v>
      </c>
      <c r="J454" t="str">
        <f t="shared" si="14"/>
        <v/>
      </c>
      <c r="K454" t="str">
        <f t="shared" si="15"/>
        <v>Standard</v>
      </c>
    </row>
    <row r="455" spans="1:11" x14ac:dyDescent="0.3">
      <c r="A455">
        <v>1453</v>
      </c>
      <c r="B455" s="5">
        <v>46743</v>
      </c>
      <c r="C455" t="s">
        <v>466</v>
      </c>
      <c r="D455" t="s">
        <v>397</v>
      </c>
      <c r="E455" t="s">
        <v>461</v>
      </c>
      <c r="F455">
        <v>35</v>
      </c>
      <c r="G455">
        <v>80</v>
      </c>
      <c r="H455">
        <v>2800</v>
      </c>
      <c r="I455" t="s">
        <v>460</v>
      </c>
      <c r="J455" t="str">
        <f t="shared" si="14"/>
        <v>Call</v>
      </c>
      <c r="K455" t="str">
        <f t="shared" si="15"/>
        <v>Standard</v>
      </c>
    </row>
    <row r="456" spans="1:11" x14ac:dyDescent="0.3">
      <c r="A456">
        <v>1454</v>
      </c>
      <c r="B456" s="5">
        <v>46744</v>
      </c>
      <c r="C456" t="s">
        <v>458</v>
      </c>
      <c r="D456" t="s">
        <v>130</v>
      </c>
      <c r="E456" t="s">
        <v>459</v>
      </c>
      <c r="F456">
        <v>37</v>
      </c>
      <c r="G456">
        <v>300</v>
      </c>
      <c r="H456">
        <v>11100</v>
      </c>
      <c r="I456" t="s">
        <v>460</v>
      </c>
      <c r="J456" t="str">
        <f t="shared" si="14"/>
        <v>Call</v>
      </c>
      <c r="K456" t="str">
        <f t="shared" si="15"/>
        <v>High</v>
      </c>
    </row>
    <row r="457" spans="1:11" x14ac:dyDescent="0.3">
      <c r="A457">
        <v>1455</v>
      </c>
      <c r="B457" s="5">
        <v>46745</v>
      </c>
      <c r="C457" t="s">
        <v>454</v>
      </c>
      <c r="D457" t="s">
        <v>129</v>
      </c>
      <c r="E457" t="s">
        <v>459</v>
      </c>
      <c r="F457">
        <v>12</v>
      </c>
      <c r="G457">
        <v>300</v>
      </c>
      <c r="H457">
        <v>3600</v>
      </c>
      <c r="I457" t="s">
        <v>456</v>
      </c>
      <c r="J457" t="str">
        <f t="shared" si="14"/>
        <v/>
      </c>
      <c r="K457" t="str">
        <f t="shared" si="15"/>
        <v>Standard</v>
      </c>
    </row>
    <row r="458" spans="1:11" x14ac:dyDescent="0.3">
      <c r="A458">
        <v>1456</v>
      </c>
      <c r="B458" s="5">
        <v>46746</v>
      </c>
      <c r="C458" t="s">
        <v>465</v>
      </c>
      <c r="D458" t="s">
        <v>132</v>
      </c>
      <c r="E458" t="s">
        <v>463</v>
      </c>
      <c r="F458">
        <v>47</v>
      </c>
      <c r="G458">
        <v>25</v>
      </c>
      <c r="H458">
        <v>1175</v>
      </c>
      <c r="I458" t="s">
        <v>456</v>
      </c>
      <c r="J458" t="str">
        <f t="shared" si="14"/>
        <v/>
      </c>
      <c r="K458" t="str">
        <f t="shared" si="15"/>
        <v>Standard</v>
      </c>
    </row>
    <row r="459" spans="1:11" x14ac:dyDescent="0.3">
      <c r="A459">
        <v>1457</v>
      </c>
      <c r="B459" s="5">
        <v>46747</v>
      </c>
      <c r="C459" t="s">
        <v>454</v>
      </c>
      <c r="D459" t="s">
        <v>132</v>
      </c>
      <c r="E459" t="s">
        <v>461</v>
      </c>
      <c r="F459">
        <v>3</v>
      </c>
      <c r="G459">
        <v>80</v>
      </c>
      <c r="H459">
        <v>240</v>
      </c>
      <c r="I459" t="s">
        <v>460</v>
      </c>
      <c r="J459" t="str">
        <f t="shared" si="14"/>
        <v>Call</v>
      </c>
      <c r="K459" t="str">
        <f t="shared" si="15"/>
        <v>Standard</v>
      </c>
    </row>
    <row r="460" spans="1:11" x14ac:dyDescent="0.3">
      <c r="A460">
        <v>1458</v>
      </c>
      <c r="B460" s="5">
        <v>46748</v>
      </c>
      <c r="C460" t="s">
        <v>458</v>
      </c>
      <c r="D460" t="s">
        <v>132</v>
      </c>
      <c r="E460" t="s">
        <v>459</v>
      </c>
      <c r="F460">
        <v>9</v>
      </c>
      <c r="G460">
        <v>300</v>
      </c>
      <c r="H460">
        <v>2700</v>
      </c>
      <c r="I460" t="s">
        <v>456</v>
      </c>
      <c r="J460" t="str">
        <f t="shared" si="14"/>
        <v/>
      </c>
      <c r="K460" t="str">
        <f t="shared" si="15"/>
        <v>Standard</v>
      </c>
    </row>
    <row r="461" spans="1:11" x14ac:dyDescent="0.3">
      <c r="A461">
        <v>1459</v>
      </c>
      <c r="B461" s="5">
        <v>46749</v>
      </c>
      <c r="C461" t="s">
        <v>458</v>
      </c>
      <c r="D461" t="s">
        <v>397</v>
      </c>
      <c r="E461" t="s">
        <v>457</v>
      </c>
      <c r="F461">
        <v>9</v>
      </c>
      <c r="G461">
        <v>45</v>
      </c>
      <c r="H461">
        <v>405</v>
      </c>
      <c r="I461" t="s">
        <v>456</v>
      </c>
      <c r="J461" t="str">
        <f t="shared" si="14"/>
        <v/>
      </c>
      <c r="K461" t="str">
        <f t="shared" si="15"/>
        <v>Standard</v>
      </c>
    </row>
    <row r="462" spans="1:11" x14ac:dyDescent="0.3">
      <c r="A462">
        <v>1460</v>
      </c>
      <c r="B462" s="5">
        <v>46750</v>
      </c>
      <c r="C462" t="s">
        <v>454</v>
      </c>
      <c r="D462" t="s">
        <v>131</v>
      </c>
      <c r="E462" t="s">
        <v>459</v>
      </c>
      <c r="F462">
        <v>3</v>
      </c>
      <c r="G462">
        <v>300</v>
      </c>
      <c r="H462">
        <v>900</v>
      </c>
      <c r="I462" t="s">
        <v>460</v>
      </c>
      <c r="J462" t="str">
        <f t="shared" si="14"/>
        <v>Call</v>
      </c>
      <c r="K462" t="str">
        <f t="shared" si="15"/>
        <v>Standard</v>
      </c>
    </row>
    <row r="463" spans="1:11" x14ac:dyDescent="0.3">
      <c r="A463">
        <v>1461</v>
      </c>
      <c r="B463" s="5">
        <v>46751</v>
      </c>
      <c r="C463" t="s">
        <v>462</v>
      </c>
      <c r="D463" t="s">
        <v>397</v>
      </c>
      <c r="E463" t="s">
        <v>461</v>
      </c>
      <c r="F463">
        <v>48</v>
      </c>
      <c r="G463">
        <v>80</v>
      </c>
      <c r="H463">
        <v>3840</v>
      </c>
      <c r="I463" t="s">
        <v>456</v>
      </c>
      <c r="J463" t="str">
        <f t="shared" si="14"/>
        <v/>
      </c>
      <c r="K463" t="str">
        <f t="shared" si="15"/>
        <v>Standard</v>
      </c>
    </row>
    <row r="464" spans="1:11" x14ac:dyDescent="0.3">
      <c r="A464">
        <v>1462</v>
      </c>
      <c r="B464" s="5">
        <v>46752</v>
      </c>
      <c r="C464" t="s">
        <v>454</v>
      </c>
      <c r="D464" t="s">
        <v>129</v>
      </c>
      <c r="E464" t="s">
        <v>455</v>
      </c>
      <c r="F464">
        <v>5</v>
      </c>
      <c r="G464">
        <v>1200</v>
      </c>
      <c r="H464">
        <v>6000</v>
      </c>
      <c r="I464" t="s">
        <v>456</v>
      </c>
      <c r="J464" t="str">
        <f t="shared" si="14"/>
        <v/>
      </c>
      <c r="K464" t="str">
        <f t="shared" si="15"/>
        <v>High</v>
      </c>
    </row>
    <row r="465" spans="1:11" x14ac:dyDescent="0.3">
      <c r="A465">
        <v>1463</v>
      </c>
      <c r="B465" s="5">
        <v>46753</v>
      </c>
      <c r="C465" t="s">
        <v>465</v>
      </c>
      <c r="D465" t="s">
        <v>131</v>
      </c>
      <c r="E465" t="s">
        <v>463</v>
      </c>
      <c r="F465">
        <v>20</v>
      </c>
      <c r="G465">
        <v>25</v>
      </c>
      <c r="H465">
        <v>500</v>
      </c>
      <c r="I465" t="s">
        <v>464</v>
      </c>
      <c r="J465" t="str">
        <f t="shared" si="14"/>
        <v/>
      </c>
      <c r="K465" t="str">
        <f t="shared" si="15"/>
        <v>Standard</v>
      </c>
    </row>
    <row r="466" spans="1:11" x14ac:dyDescent="0.3">
      <c r="A466">
        <v>1464</v>
      </c>
      <c r="B466" s="5">
        <v>46754</v>
      </c>
      <c r="C466" t="s">
        <v>454</v>
      </c>
      <c r="D466" t="s">
        <v>132</v>
      </c>
      <c r="E466" t="s">
        <v>461</v>
      </c>
      <c r="F466">
        <v>15</v>
      </c>
      <c r="G466">
        <v>80</v>
      </c>
      <c r="H466">
        <v>1200</v>
      </c>
      <c r="I466" t="s">
        <v>460</v>
      </c>
      <c r="J466" t="str">
        <f t="shared" si="14"/>
        <v>Call</v>
      </c>
      <c r="K466" t="str">
        <f t="shared" si="15"/>
        <v>Standard</v>
      </c>
    </row>
    <row r="467" spans="1:11" x14ac:dyDescent="0.3">
      <c r="A467">
        <v>1465</v>
      </c>
      <c r="B467" s="5">
        <v>46755</v>
      </c>
      <c r="C467" t="s">
        <v>454</v>
      </c>
      <c r="D467" t="s">
        <v>129</v>
      </c>
      <c r="E467" t="s">
        <v>455</v>
      </c>
      <c r="F467">
        <v>38</v>
      </c>
      <c r="G467">
        <v>1200</v>
      </c>
      <c r="H467">
        <v>45600</v>
      </c>
      <c r="I467" t="s">
        <v>464</v>
      </c>
      <c r="J467" t="str">
        <f t="shared" si="14"/>
        <v/>
      </c>
      <c r="K467" t="str">
        <f t="shared" si="15"/>
        <v>High</v>
      </c>
    </row>
    <row r="468" spans="1:11" x14ac:dyDescent="0.3">
      <c r="A468">
        <v>1466</v>
      </c>
      <c r="B468" s="5">
        <v>46756</v>
      </c>
      <c r="C468" t="s">
        <v>454</v>
      </c>
      <c r="D468" t="s">
        <v>129</v>
      </c>
      <c r="E468" t="s">
        <v>463</v>
      </c>
      <c r="F468">
        <v>22</v>
      </c>
      <c r="G468">
        <v>25</v>
      </c>
      <c r="H468">
        <v>550</v>
      </c>
      <c r="I468" t="s">
        <v>456</v>
      </c>
      <c r="J468" t="str">
        <f t="shared" si="14"/>
        <v/>
      </c>
      <c r="K468" t="str">
        <f t="shared" si="15"/>
        <v>Standard</v>
      </c>
    </row>
    <row r="469" spans="1:11" x14ac:dyDescent="0.3">
      <c r="A469">
        <v>1467</v>
      </c>
      <c r="B469" s="5">
        <v>46757</v>
      </c>
      <c r="C469" t="s">
        <v>465</v>
      </c>
      <c r="D469" t="s">
        <v>397</v>
      </c>
      <c r="E469" t="s">
        <v>457</v>
      </c>
      <c r="F469">
        <v>12</v>
      </c>
      <c r="G469">
        <v>45</v>
      </c>
      <c r="H469">
        <v>540</v>
      </c>
      <c r="I469" t="s">
        <v>456</v>
      </c>
      <c r="J469" t="str">
        <f t="shared" si="14"/>
        <v/>
      </c>
      <c r="K469" t="str">
        <f t="shared" si="15"/>
        <v>Standard</v>
      </c>
    </row>
    <row r="470" spans="1:11" x14ac:dyDescent="0.3">
      <c r="A470">
        <v>1468</v>
      </c>
      <c r="B470" s="5">
        <v>46758</v>
      </c>
      <c r="C470" t="s">
        <v>465</v>
      </c>
      <c r="D470" t="s">
        <v>130</v>
      </c>
      <c r="E470" t="s">
        <v>463</v>
      </c>
      <c r="F470">
        <v>23</v>
      </c>
      <c r="G470">
        <v>25</v>
      </c>
      <c r="H470">
        <v>575</v>
      </c>
      <c r="I470" t="s">
        <v>460</v>
      </c>
      <c r="J470" t="str">
        <f t="shared" si="14"/>
        <v>Call</v>
      </c>
      <c r="K470" t="str">
        <f t="shared" si="15"/>
        <v>Standard</v>
      </c>
    </row>
    <row r="471" spans="1:11" x14ac:dyDescent="0.3">
      <c r="A471">
        <v>1469</v>
      </c>
      <c r="B471" s="5">
        <v>46759</v>
      </c>
      <c r="C471" t="s">
        <v>462</v>
      </c>
      <c r="D471" t="s">
        <v>132</v>
      </c>
      <c r="E471" t="s">
        <v>459</v>
      </c>
      <c r="F471">
        <v>16</v>
      </c>
      <c r="G471">
        <v>300</v>
      </c>
      <c r="H471">
        <v>4800</v>
      </c>
      <c r="I471" t="s">
        <v>464</v>
      </c>
      <c r="J471" t="str">
        <f t="shared" si="14"/>
        <v/>
      </c>
      <c r="K471" t="str">
        <f t="shared" si="15"/>
        <v>Standard</v>
      </c>
    </row>
    <row r="472" spans="1:11" x14ac:dyDescent="0.3">
      <c r="A472">
        <v>1470</v>
      </c>
      <c r="B472" s="5">
        <v>46760</v>
      </c>
      <c r="C472" t="s">
        <v>462</v>
      </c>
      <c r="D472" t="s">
        <v>129</v>
      </c>
      <c r="E472" t="s">
        <v>457</v>
      </c>
      <c r="F472">
        <v>42</v>
      </c>
      <c r="G472">
        <v>45</v>
      </c>
      <c r="H472">
        <v>1890</v>
      </c>
      <c r="I472" t="s">
        <v>464</v>
      </c>
      <c r="J472" t="str">
        <f t="shared" si="14"/>
        <v/>
      </c>
      <c r="K472" t="str">
        <f t="shared" si="15"/>
        <v>Standard</v>
      </c>
    </row>
    <row r="473" spans="1:11" x14ac:dyDescent="0.3">
      <c r="A473">
        <v>1471</v>
      </c>
      <c r="B473" s="5">
        <v>46761</v>
      </c>
      <c r="C473" t="s">
        <v>462</v>
      </c>
      <c r="D473" t="s">
        <v>131</v>
      </c>
      <c r="E473" t="s">
        <v>463</v>
      </c>
      <c r="F473">
        <v>29</v>
      </c>
      <c r="G473">
        <v>25</v>
      </c>
      <c r="H473">
        <v>725</v>
      </c>
      <c r="I473" t="s">
        <v>456</v>
      </c>
      <c r="J473" t="str">
        <f t="shared" si="14"/>
        <v/>
      </c>
      <c r="K473" t="str">
        <f t="shared" si="15"/>
        <v>Standard</v>
      </c>
    </row>
    <row r="474" spans="1:11" x14ac:dyDescent="0.3">
      <c r="A474">
        <v>1472</v>
      </c>
      <c r="B474" s="5">
        <v>46762</v>
      </c>
      <c r="C474" t="s">
        <v>462</v>
      </c>
      <c r="D474" t="s">
        <v>397</v>
      </c>
      <c r="E474" t="s">
        <v>459</v>
      </c>
      <c r="F474">
        <v>5</v>
      </c>
      <c r="G474">
        <v>300</v>
      </c>
      <c r="H474">
        <v>1500</v>
      </c>
      <c r="I474" t="s">
        <v>456</v>
      </c>
      <c r="J474" t="str">
        <f t="shared" si="14"/>
        <v/>
      </c>
      <c r="K474" t="str">
        <f t="shared" si="15"/>
        <v>Standard</v>
      </c>
    </row>
    <row r="475" spans="1:11" x14ac:dyDescent="0.3">
      <c r="A475">
        <v>1473</v>
      </c>
      <c r="B475" s="5">
        <v>46763</v>
      </c>
      <c r="C475" t="s">
        <v>462</v>
      </c>
      <c r="D475" t="s">
        <v>131</v>
      </c>
      <c r="E475" t="s">
        <v>459</v>
      </c>
      <c r="F475">
        <v>32</v>
      </c>
      <c r="G475">
        <v>300</v>
      </c>
      <c r="H475">
        <v>9600</v>
      </c>
      <c r="I475" t="s">
        <v>456</v>
      </c>
      <c r="J475" t="str">
        <f t="shared" si="14"/>
        <v/>
      </c>
      <c r="K475" t="str">
        <f t="shared" si="15"/>
        <v>High</v>
      </c>
    </row>
    <row r="476" spans="1:11" x14ac:dyDescent="0.3">
      <c r="A476">
        <v>1474</v>
      </c>
      <c r="B476" s="5">
        <v>46764</v>
      </c>
      <c r="C476" t="s">
        <v>465</v>
      </c>
      <c r="D476" t="s">
        <v>132</v>
      </c>
      <c r="E476" t="s">
        <v>457</v>
      </c>
      <c r="F476">
        <v>12</v>
      </c>
      <c r="G476">
        <v>45</v>
      </c>
      <c r="H476">
        <v>540</v>
      </c>
      <c r="I476" t="s">
        <v>456</v>
      </c>
      <c r="J476" t="str">
        <f t="shared" si="14"/>
        <v/>
      </c>
      <c r="K476" t="str">
        <f t="shared" si="15"/>
        <v>Standard</v>
      </c>
    </row>
    <row r="477" spans="1:11" x14ac:dyDescent="0.3">
      <c r="A477">
        <v>1475</v>
      </c>
      <c r="B477" s="5">
        <v>46765</v>
      </c>
      <c r="C477" t="s">
        <v>466</v>
      </c>
      <c r="D477" t="s">
        <v>132</v>
      </c>
      <c r="E477" t="s">
        <v>463</v>
      </c>
      <c r="F477">
        <v>45</v>
      </c>
      <c r="G477">
        <v>25</v>
      </c>
      <c r="H477">
        <v>1125</v>
      </c>
      <c r="I477" t="s">
        <v>456</v>
      </c>
      <c r="J477" t="str">
        <f t="shared" si="14"/>
        <v/>
      </c>
      <c r="K477" t="str">
        <f t="shared" si="15"/>
        <v>Standard</v>
      </c>
    </row>
    <row r="478" spans="1:11" x14ac:dyDescent="0.3">
      <c r="A478">
        <v>1476</v>
      </c>
      <c r="B478" s="5">
        <v>46766</v>
      </c>
      <c r="C478" t="s">
        <v>465</v>
      </c>
      <c r="D478" t="s">
        <v>131</v>
      </c>
      <c r="E478" t="s">
        <v>455</v>
      </c>
      <c r="F478">
        <v>32</v>
      </c>
      <c r="G478">
        <v>1200</v>
      </c>
      <c r="H478">
        <v>38400</v>
      </c>
      <c r="I478" t="s">
        <v>460</v>
      </c>
      <c r="J478" t="str">
        <f t="shared" si="14"/>
        <v>Call</v>
      </c>
      <c r="K478" t="str">
        <f t="shared" si="15"/>
        <v>High</v>
      </c>
    </row>
    <row r="479" spans="1:11" x14ac:dyDescent="0.3">
      <c r="A479">
        <v>1477</v>
      </c>
      <c r="B479" s="5">
        <v>46767</v>
      </c>
      <c r="C479" t="s">
        <v>462</v>
      </c>
      <c r="D479" t="s">
        <v>129</v>
      </c>
      <c r="E479" t="s">
        <v>461</v>
      </c>
      <c r="F479">
        <v>19</v>
      </c>
      <c r="G479">
        <v>80</v>
      </c>
      <c r="H479">
        <v>1520</v>
      </c>
      <c r="I479" t="s">
        <v>460</v>
      </c>
      <c r="J479" t="str">
        <f t="shared" si="14"/>
        <v>Call</v>
      </c>
      <c r="K479" t="str">
        <f t="shared" si="15"/>
        <v>Standard</v>
      </c>
    </row>
    <row r="480" spans="1:11" x14ac:dyDescent="0.3">
      <c r="A480">
        <v>1478</v>
      </c>
      <c r="B480" s="5">
        <v>46768</v>
      </c>
      <c r="C480" t="s">
        <v>465</v>
      </c>
      <c r="D480" t="s">
        <v>131</v>
      </c>
      <c r="E480" t="s">
        <v>457</v>
      </c>
      <c r="F480">
        <v>2</v>
      </c>
      <c r="G480">
        <v>45</v>
      </c>
      <c r="H480">
        <v>90</v>
      </c>
      <c r="I480" t="s">
        <v>456</v>
      </c>
      <c r="J480" t="str">
        <f t="shared" si="14"/>
        <v/>
      </c>
      <c r="K480" t="str">
        <f t="shared" si="15"/>
        <v>Standard</v>
      </c>
    </row>
    <row r="481" spans="1:11" x14ac:dyDescent="0.3">
      <c r="A481">
        <v>1479</v>
      </c>
      <c r="B481" s="5">
        <v>46769</v>
      </c>
      <c r="C481" t="s">
        <v>462</v>
      </c>
      <c r="D481" t="s">
        <v>397</v>
      </c>
      <c r="E481" t="s">
        <v>461</v>
      </c>
      <c r="F481">
        <v>36</v>
      </c>
      <c r="G481">
        <v>80</v>
      </c>
      <c r="H481">
        <v>2880</v>
      </c>
      <c r="I481" t="s">
        <v>464</v>
      </c>
      <c r="J481" t="str">
        <f t="shared" si="14"/>
        <v/>
      </c>
      <c r="K481" t="str">
        <f t="shared" si="15"/>
        <v>Standard</v>
      </c>
    </row>
    <row r="482" spans="1:11" x14ac:dyDescent="0.3">
      <c r="A482">
        <v>1480</v>
      </c>
      <c r="B482" s="5">
        <v>46770</v>
      </c>
      <c r="C482" t="s">
        <v>454</v>
      </c>
      <c r="D482" t="s">
        <v>132</v>
      </c>
      <c r="E482" t="s">
        <v>455</v>
      </c>
      <c r="F482">
        <v>38</v>
      </c>
      <c r="G482">
        <v>1200</v>
      </c>
      <c r="H482">
        <v>45600</v>
      </c>
      <c r="I482" t="s">
        <v>456</v>
      </c>
      <c r="J482" t="str">
        <f t="shared" si="14"/>
        <v/>
      </c>
      <c r="K482" t="str">
        <f t="shared" si="15"/>
        <v>High</v>
      </c>
    </row>
    <row r="483" spans="1:11" x14ac:dyDescent="0.3">
      <c r="A483">
        <v>1481</v>
      </c>
      <c r="B483" s="5">
        <v>46771</v>
      </c>
      <c r="C483" t="s">
        <v>466</v>
      </c>
      <c r="D483" t="s">
        <v>397</v>
      </c>
      <c r="E483" t="s">
        <v>457</v>
      </c>
      <c r="F483">
        <v>47</v>
      </c>
      <c r="G483">
        <v>45</v>
      </c>
      <c r="H483">
        <v>2115</v>
      </c>
      <c r="I483" t="s">
        <v>456</v>
      </c>
      <c r="J483" t="str">
        <f t="shared" si="14"/>
        <v/>
      </c>
      <c r="K483" t="str">
        <f t="shared" si="15"/>
        <v>Standard</v>
      </c>
    </row>
    <row r="484" spans="1:11" x14ac:dyDescent="0.3">
      <c r="A484">
        <v>1482</v>
      </c>
      <c r="B484" s="5">
        <v>46772</v>
      </c>
      <c r="C484" t="s">
        <v>454</v>
      </c>
      <c r="D484" t="s">
        <v>130</v>
      </c>
      <c r="E484" t="s">
        <v>455</v>
      </c>
      <c r="F484">
        <v>35</v>
      </c>
      <c r="G484">
        <v>1200</v>
      </c>
      <c r="H484">
        <v>42000</v>
      </c>
      <c r="I484" t="s">
        <v>460</v>
      </c>
      <c r="J484" t="str">
        <f t="shared" si="14"/>
        <v>Call</v>
      </c>
      <c r="K484" t="str">
        <f t="shared" si="15"/>
        <v>High</v>
      </c>
    </row>
    <row r="485" spans="1:11" x14ac:dyDescent="0.3">
      <c r="A485">
        <v>1483</v>
      </c>
      <c r="B485" s="5">
        <v>46773</v>
      </c>
      <c r="C485" t="s">
        <v>462</v>
      </c>
      <c r="D485" t="s">
        <v>132</v>
      </c>
      <c r="E485" t="s">
        <v>463</v>
      </c>
      <c r="F485">
        <v>37</v>
      </c>
      <c r="G485">
        <v>25</v>
      </c>
      <c r="H485">
        <v>925</v>
      </c>
      <c r="I485" t="s">
        <v>456</v>
      </c>
      <c r="J485" t="str">
        <f t="shared" si="14"/>
        <v/>
      </c>
      <c r="K485" t="str">
        <f t="shared" si="15"/>
        <v>Standard</v>
      </c>
    </row>
    <row r="486" spans="1:11" x14ac:dyDescent="0.3">
      <c r="A486">
        <v>1484</v>
      </c>
      <c r="B486" s="5">
        <v>46774</v>
      </c>
      <c r="C486" t="s">
        <v>462</v>
      </c>
      <c r="D486" t="s">
        <v>131</v>
      </c>
      <c r="E486" t="s">
        <v>459</v>
      </c>
      <c r="F486">
        <v>49</v>
      </c>
      <c r="G486">
        <v>300</v>
      </c>
      <c r="H486">
        <v>14700</v>
      </c>
      <c r="I486" t="s">
        <v>456</v>
      </c>
      <c r="J486" t="str">
        <f t="shared" si="14"/>
        <v/>
      </c>
      <c r="K486" t="str">
        <f t="shared" si="15"/>
        <v>High</v>
      </c>
    </row>
    <row r="487" spans="1:11" x14ac:dyDescent="0.3">
      <c r="A487">
        <v>1485</v>
      </c>
      <c r="B487" s="5">
        <v>46775</v>
      </c>
      <c r="C487" t="s">
        <v>458</v>
      </c>
      <c r="D487" t="s">
        <v>130</v>
      </c>
      <c r="E487" t="s">
        <v>459</v>
      </c>
      <c r="F487">
        <v>15</v>
      </c>
      <c r="G487">
        <v>300</v>
      </c>
      <c r="H487">
        <v>4500</v>
      </c>
      <c r="I487" t="s">
        <v>456</v>
      </c>
      <c r="J487" t="str">
        <f t="shared" si="14"/>
        <v/>
      </c>
      <c r="K487" t="str">
        <f t="shared" si="15"/>
        <v>Standard</v>
      </c>
    </row>
    <row r="488" spans="1:11" x14ac:dyDescent="0.3">
      <c r="A488">
        <v>1486</v>
      </c>
      <c r="B488" s="5">
        <v>46776</v>
      </c>
      <c r="C488" t="s">
        <v>454</v>
      </c>
      <c r="D488" t="s">
        <v>131</v>
      </c>
      <c r="E488" t="s">
        <v>463</v>
      </c>
      <c r="F488">
        <v>16</v>
      </c>
      <c r="G488">
        <v>25</v>
      </c>
      <c r="H488">
        <v>400</v>
      </c>
      <c r="I488" t="s">
        <v>464</v>
      </c>
      <c r="J488" t="str">
        <f t="shared" si="14"/>
        <v/>
      </c>
      <c r="K488" t="str">
        <f t="shared" si="15"/>
        <v>Standard</v>
      </c>
    </row>
    <row r="489" spans="1:11" x14ac:dyDescent="0.3">
      <c r="A489">
        <v>1487</v>
      </c>
      <c r="B489" s="5">
        <v>46777</v>
      </c>
      <c r="C489" t="s">
        <v>466</v>
      </c>
      <c r="D489" t="s">
        <v>130</v>
      </c>
      <c r="E489" t="s">
        <v>463</v>
      </c>
      <c r="F489">
        <v>24</v>
      </c>
      <c r="G489">
        <v>25</v>
      </c>
      <c r="H489">
        <v>600</v>
      </c>
      <c r="I489" t="s">
        <v>456</v>
      </c>
      <c r="J489" t="str">
        <f t="shared" si="14"/>
        <v/>
      </c>
      <c r="K489" t="str">
        <f t="shared" si="15"/>
        <v>Standard</v>
      </c>
    </row>
    <row r="490" spans="1:11" x14ac:dyDescent="0.3">
      <c r="A490">
        <v>1488</v>
      </c>
      <c r="B490" s="5">
        <v>46778</v>
      </c>
      <c r="C490" t="s">
        <v>466</v>
      </c>
      <c r="D490" t="s">
        <v>129</v>
      </c>
      <c r="E490" t="s">
        <v>459</v>
      </c>
      <c r="F490">
        <v>45</v>
      </c>
      <c r="G490">
        <v>300</v>
      </c>
      <c r="H490">
        <v>13500</v>
      </c>
      <c r="I490" t="s">
        <v>460</v>
      </c>
      <c r="J490" t="str">
        <f t="shared" si="14"/>
        <v>Call</v>
      </c>
      <c r="K490" t="str">
        <f t="shared" si="15"/>
        <v>High</v>
      </c>
    </row>
    <row r="491" spans="1:11" x14ac:dyDescent="0.3">
      <c r="A491">
        <v>1489</v>
      </c>
      <c r="B491" s="5">
        <v>46779</v>
      </c>
      <c r="C491" t="s">
        <v>465</v>
      </c>
      <c r="D491" t="s">
        <v>130</v>
      </c>
      <c r="E491" t="s">
        <v>461</v>
      </c>
      <c r="F491">
        <v>34</v>
      </c>
      <c r="G491">
        <v>80</v>
      </c>
      <c r="H491">
        <v>2720</v>
      </c>
      <c r="I491" t="s">
        <v>456</v>
      </c>
      <c r="J491" t="str">
        <f t="shared" si="14"/>
        <v/>
      </c>
      <c r="K491" t="str">
        <f t="shared" si="15"/>
        <v>Standard</v>
      </c>
    </row>
    <row r="492" spans="1:11" x14ac:dyDescent="0.3">
      <c r="A492">
        <v>1490</v>
      </c>
      <c r="B492" s="5">
        <v>46780</v>
      </c>
      <c r="C492" t="s">
        <v>454</v>
      </c>
      <c r="D492" t="s">
        <v>132</v>
      </c>
      <c r="E492" t="s">
        <v>459</v>
      </c>
      <c r="F492">
        <v>24</v>
      </c>
      <c r="G492">
        <v>300</v>
      </c>
      <c r="H492">
        <v>7200</v>
      </c>
      <c r="I492" t="s">
        <v>464</v>
      </c>
      <c r="J492" t="str">
        <f t="shared" si="14"/>
        <v/>
      </c>
      <c r="K492" t="str">
        <f t="shared" si="15"/>
        <v>High</v>
      </c>
    </row>
    <row r="493" spans="1:11" x14ac:dyDescent="0.3">
      <c r="A493">
        <v>1491</v>
      </c>
      <c r="B493" s="5">
        <v>46781</v>
      </c>
      <c r="C493" t="s">
        <v>458</v>
      </c>
      <c r="D493" t="s">
        <v>397</v>
      </c>
      <c r="E493" t="s">
        <v>463</v>
      </c>
      <c r="F493">
        <v>30</v>
      </c>
      <c r="G493">
        <v>25</v>
      </c>
      <c r="H493">
        <v>750</v>
      </c>
      <c r="I493" t="s">
        <v>456</v>
      </c>
      <c r="J493" t="str">
        <f t="shared" si="14"/>
        <v/>
      </c>
      <c r="K493" t="str">
        <f t="shared" si="15"/>
        <v>Standard</v>
      </c>
    </row>
    <row r="494" spans="1:11" x14ac:dyDescent="0.3">
      <c r="A494">
        <v>1492</v>
      </c>
      <c r="B494" s="5">
        <v>46782</v>
      </c>
      <c r="C494" t="s">
        <v>458</v>
      </c>
      <c r="D494" t="s">
        <v>397</v>
      </c>
      <c r="E494" t="s">
        <v>457</v>
      </c>
      <c r="F494">
        <v>4</v>
      </c>
      <c r="G494">
        <v>45</v>
      </c>
      <c r="H494">
        <v>180</v>
      </c>
      <c r="I494" t="s">
        <v>464</v>
      </c>
      <c r="J494" t="str">
        <f t="shared" si="14"/>
        <v/>
      </c>
      <c r="K494" t="str">
        <f t="shared" si="15"/>
        <v>Standard</v>
      </c>
    </row>
    <row r="495" spans="1:11" x14ac:dyDescent="0.3">
      <c r="A495">
        <v>1493</v>
      </c>
      <c r="B495" s="5">
        <v>46783</v>
      </c>
      <c r="C495" t="s">
        <v>465</v>
      </c>
      <c r="D495" t="s">
        <v>132</v>
      </c>
      <c r="E495" t="s">
        <v>463</v>
      </c>
      <c r="F495">
        <v>35</v>
      </c>
      <c r="G495">
        <v>25</v>
      </c>
      <c r="H495">
        <v>875</v>
      </c>
      <c r="I495" t="s">
        <v>456</v>
      </c>
      <c r="J495" t="str">
        <f t="shared" si="14"/>
        <v/>
      </c>
      <c r="K495" t="str">
        <f t="shared" si="15"/>
        <v>Standard</v>
      </c>
    </row>
    <row r="496" spans="1:11" x14ac:dyDescent="0.3">
      <c r="A496">
        <v>1494</v>
      </c>
      <c r="B496" s="5">
        <v>46784</v>
      </c>
      <c r="C496" t="s">
        <v>466</v>
      </c>
      <c r="D496" t="s">
        <v>129</v>
      </c>
      <c r="E496" t="s">
        <v>457</v>
      </c>
      <c r="F496">
        <v>22</v>
      </c>
      <c r="G496">
        <v>45</v>
      </c>
      <c r="H496">
        <v>990</v>
      </c>
      <c r="I496" t="s">
        <v>456</v>
      </c>
      <c r="J496" t="str">
        <f t="shared" si="14"/>
        <v/>
      </c>
      <c r="K496" t="str">
        <f t="shared" si="15"/>
        <v>Standard</v>
      </c>
    </row>
    <row r="497" spans="1:11" x14ac:dyDescent="0.3">
      <c r="A497">
        <v>1495</v>
      </c>
      <c r="B497" s="5">
        <v>46785</v>
      </c>
      <c r="C497" t="s">
        <v>462</v>
      </c>
      <c r="D497" t="s">
        <v>131</v>
      </c>
      <c r="E497" t="s">
        <v>463</v>
      </c>
      <c r="F497">
        <v>41</v>
      </c>
      <c r="G497">
        <v>25</v>
      </c>
      <c r="H497">
        <v>1025</v>
      </c>
      <c r="I497" t="s">
        <v>464</v>
      </c>
      <c r="J497" t="str">
        <f t="shared" si="14"/>
        <v/>
      </c>
      <c r="K497" t="str">
        <f t="shared" si="15"/>
        <v>Standard</v>
      </c>
    </row>
    <row r="498" spans="1:11" x14ac:dyDescent="0.3">
      <c r="A498">
        <v>1496</v>
      </c>
      <c r="B498" s="5">
        <v>46786</v>
      </c>
      <c r="C498" t="s">
        <v>466</v>
      </c>
      <c r="D498" t="s">
        <v>132</v>
      </c>
      <c r="E498" t="s">
        <v>455</v>
      </c>
      <c r="F498">
        <v>22</v>
      </c>
      <c r="G498">
        <v>1200</v>
      </c>
      <c r="H498">
        <v>26400</v>
      </c>
      <c r="I498" t="s">
        <v>456</v>
      </c>
      <c r="J498" t="str">
        <f t="shared" si="14"/>
        <v/>
      </c>
      <c r="K498" t="str">
        <f t="shared" si="15"/>
        <v>High</v>
      </c>
    </row>
    <row r="499" spans="1:11" x14ac:dyDescent="0.3">
      <c r="A499">
        <v>1497</v>
      </c>
      <c r="B499" s="5">
        <v>46787</v>
      </c>
      <c r="C499" t="s">
        <v>466</v>
      </c>
      <c r="D499" t="s">
        <v>130</v>
      </c>
      <c r="E499" t="s">
        <v>457</v>
      </c>
      <c r="F499">
        <v>33</v>
      </c>
      <c r="G499">
        <v>45</v>
      </c>
      <c r="H499">
        <v>1485</v>
      </c>
      <c r="I499" t="s">
        <v>456</v>
      </c>
      <c r="J499" t="str">
        <f t="shared" si="14"/>
        <v/>
      </c>
      <c r="K499" t="str">
        <f t="shared" si="15"/>
        <v>Standard</v>
      </c>
    </row>
    <row r="500" spans="1:11" x14ac:dyDescent="0.3">
      <c r="A500">
        <v>1498</v>
      </c>
      <c r="B500" s="5">
        <v>46788</v>
      </c>
      <c r="C500" t="s">
        <v>458</v>
      </c>
      <c r="D500" t="s">
        <v>130</v>
      </c>
      <c r="E500" t="s">
        <v>455</v>
      </c>
      <c r="F500">
        <v>20</v>
      </c>
      <c r="G500">
        <v>1200</v>
      </c>
      <c r="H500">
        <v>24000</v>
      </c>
      <c r="I500" t="s">
        <v>464</v>
      </c>
      <c r="J500" t="str">
        <f t="shared" si="14"/>
        <v/>
      </c>
      <c r="K500" t="str">
        <f t="shared" si="15"/>
        <v>High</v>
      </c>
    </row>
    <row r="501" spans="1:11" x14ac:dyDescent="0.3">
      <c r="A501">
        <v>1499</v>
      </c>
      <c r="B501" s="5">
        <v>46789</v>
      </c>
      <c r="C501" t="s">
        <v>454</v>
      </c>
      <c r="D501" t="s">
        <v>131</v>
      </c>
      <c r="E501" t="s">
        <v>461</v>
      </c>
      <c r="F501">
        <v>34</v>
      </c>
      <c r="G501">
        <v>80</v>
      </c>
      <c r="H501">
        <v>2720</v>
      </c>
      <c r="I501" t="s">
        <v>456</v>
      </c>
      <c r="J501" t="str">
        <f t="shared" si="14"/>
        <v/>
      </c>
      <c r="K501" t="str">
        <f t="shared" si="15"/>
        <v>Standard</v>
      </c>
    </row>
    <row r="502" spans="1:11" x14ac:dyDescent="0.3">
      <c r="A502">
        <v>1500</v>
      </c>
      <c r="B502" s="5">
        <v>46790</v>
      </c>
      <c r="C502" t="s">
        <v>462</v>
      </c>
      <c r="D502" t="s">
        <v>397</v>
      </c>
      <c r="E502" t="s">
        <v>455</v>
      </c>
      <c r="F502">
        <v>39</v>
      </c>
      <c r="G502">
        <v>1200</v>
      </c>
      <c r="H502">
        <v>46800</v>
      </c>
      <c r="I502" t="s">
        <v>456</v>
      </c>
      <c r="J502" t="str">
        <f t="shared" si="14"/>
        <v/>
      </c>
      <c r="K502" t="str">
        <f t="shared" si="15"/>
        <v>High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5A4F-3E57-4910-8F3A-510C624873D7}">
  <sheetPr>
    <tabColor rgb="FF5B9BD5"/>
  </sheetPr>
  <dimension ref="A1:N6"/>
  <sheetViews>
    <sheetView workbookViewId="0">
      <selection activeCell="N5" sqref="N5"/>
    </sheetView>
  </sheetViews>
  <sheetFormatPr defaultRowHeight="14.4" x14ac:dyDescent="0.3"/>
  <cols>
    <col min="1" max="1" width="10.21875" customWidth="1"/>
    <col min="2" max="2" width="12.33203125" customWidth="1"/>
    <col min="3" max="3" width="16.77734375" customWidth="1"/>
    <col min="4" max="4" width="7.44140625" bestFit="1" customWidth="1"/>
    <col min="5" max="5" width="8.44140625" customWidth="1"/>
    <col min="6" max="6" width="17.5546875" customWidth="1"/>
    <col min="7" max="7" width="15.21875" customWidth="1"/>
    <col min="8" max="8" width="11.44140625" customWidth="1"/>
    <col min="9" max="9" width="11.77734375" customWidth="1"/>
    <col min="10" max="10" width="11.44140625" customWidth="1"/>
    <col min="11" max="11" width="12.33203125" customWidth="1"/>
    <col min="12" max="12" width="17.21875" customWidth="1"/>
    <col min="13" max="13" width="12.5546875" customWidth="1"/>
    <col min="14" max="14" width="9" bestFit="1" customWidth="1"/>
  </cols>
  <sheetData>
    <row r="1" spans="1:14" x14ac:dyDescent="0.3">
      <c r="A1" s="110" t="s">
        <v>582</v>
      </c>
      <c r="B1" s="110" t="s">
        <v>583</v>
      </c>
      <c r="C1" s="110" t="s">
        <v>584</v>
      </c>
      <c r="D1" s="110" t="s">
        <v>160</v>
      </c>
      <c r="E1" s="110" t="s">
        <v>238</v>
      </c>
      <c r="F1" s="110" t="s">
        <v>371</v>
      </c>
      <c r="G1" s="110" t="s">
        <v>585</v>
      </c>
      <c r="H1" s="110" t="s">
        <v>376</v>
      </c>
      <c r="I1" s="110" t="s">
        <v>453</v>
      </c>
      <c r="J1" s="110" t="s">
        <v>586</v>
      </c>
      <c r="K1" s="110" t="s">
        <v>240</v>
      </c>
      <c r="L1" s="110" t="s">
        <v>377</v>
      </c>
      <c r="M1" s="110" t="s">
        <v>587</v>
      </c>
      <c r="N1" s="110" t="s">
        <v>481</v>
      </c>
    </row>
    <row r="2" spans="1:14" x14ac:dyDescent="0.3">
      <c r="A2">
        <v>1005</v>
      </c>
      <c r="B2">
        <v>45659</v>
      </c>
      <c r="C2" t="s">
        <v>485</v>
      </c>
      <c r="D2" t="s">
        <v>166</v>
      </c>
      <c r="E2" t="s">
        <v>132</v>
      </c>
      <c r="F2" t="s">
        <v>389</v>
      </c>
      <c r="G2" t="s">
        <v>488</v>
      </c>
      <c r="H2" t="s">
        <v>112</v>
      </c>
      <c r="I2">
        <v>5</v>
      </c>
      <c r="J2">
        <v>41396</v>
      </c>
      <c r="K2">
        <v>206980</v>
      </c>
      <c r="L2" t="s">
        <v>396</v>
      </c>
      <c r="M2">
        <v>0</v>
      </c>
      <c r="N2">
        <v>34168.81</v>
      </c>
    </row>
    <row r="3" spans="1:14" x14ac:dyDescent="0.3">
      <c r="A3">
        <v>1007</v>
      </c>
      <c r="B3">
        <v>45660</v>
      </c>
      <c r="C3" t="s">
        <v>482</v>
      </c>
      <c r="D3" t="s">
        <v>179</v>
      </c>
      <c r="E3" t="s">
        <v>132</v>
      </c>
      <c r="F3" t="s">
        <v>379</v>
      </c>
      <c r="G3" t="s">
        <v>484</v>
      </c>
      <c r="H3" t="s">
        <v>114</v>
      </c>
      <c r="I3">
        <v>3</v>
      </c>
      <c r="J3">
        <v>37915</v>
      </c>
      <c r="K3">
        <v>113745</v>
      </c>
      <c r="L3" t="s">
        <v>396</v>
      </c>
      <c r="M3">
        <v>0</v>
      </c>
      <c r="N3">
        <v>30022.959999999999</v>
      </c>
    </row>
    <row r="4" spans="1:14" x14ac:dyDescent="0.3">
      <c r="A4">
        <v>1009</v>
      </c>
      <c r="B4">
        <v>45661</v>
      </c>
      <c r="C4" t="s">
        <v>487</v>
      </c>
      <c r="D4" t="s">
        <v>166</v>
      </c>
      <c r="E4" t="s">
        <v>132</v>
      </c>
      <c r="F4" t="s">
        <v>490</v>
      </c>
      <c r="G4" t="s">
        <v>494</v>
      </c>
      <c r="H4" t="s">
        <v>115</v>
      </c>
      <c r="I4">
        <v>3</v>
      </c>
      <c r="J4">
        <v>26304</v>
      </c>
      <c r="K4">
        <v>71020.800000000003</v>
      </c>
      <c r="L4" t="s">
        <v>387</v>
      </c>
      <c r="M4">
        <v>10</v>
      </c>
      <c r="N4">
        <v>8473.11</v>
      </c>
    </row>
    <row r="5" spans="1:14" x14ac:dyDescent="0.3">
      <c r="A5">
        <v>1010</v>
      </c>
      <c r="B5">
        <v>45661</v>
      </c>
      <c r="C5" t="s">
        <v>485</v>
      </c>
      <c r="D5" t="s">
        <v>166</v>
      </c>
      <c r="E5" t="s">
        <v>132</v>
      </c>
      <c r="F5" t="s">
        <v>490</v>
      </c>
      <c r="G5" t="s">
        <v>495</v>
      </c>
      <c r="H5" t="s">
        <v>114</v>
      </c>
      <c r="I5">
        <v>5</v>
      </c>
      <c r="J5">
        <v>15994</v>
      </c>
      <c r="K5">
        <v>67974.5</v>
      </c>
      <c r="L5" t="s">
        <v>401</v>
      </c>
      <c r="M5">
        <v>15</v>
      </c>
      <c r="N5">
        <v>12850.43</v>
      </c>
    </row>
    <row r="6" spans="1:14" x14ac:dyDescent="0.3">
      <c r="A6">
        <v>1008</v>
      </c>
      <c r="B6">
        <v>45661</v>
      </c>
      <c r="C6" t="s">
        <v>493</v>
      </c>
      <c r="D6" t="s">
        <v>166</v>
      </c>
      <c r="E6" t="s">
        <v>132</v>
      </c>
      <c r="F6" t="s">
        <v>379</v>
      </c>
      <c r="G6" t="s">
        <v>484</v>
      </c>
      <c r="H6" t="s">
        <v>114</v>
      </c>
      <c r="I6">
        <v>1</v>
      </c>
      <c r="J6">
        <v>38859</v>
      </c>
      <c r="K6">
        <v>36916.050000000003</v>
      </c>
      <c r="L6" t="s">
        <v>387</v>
      </c>
      <c r="M6">
        <v>5</v>
      </c>
      <c r="N6">
        <v>6036.85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A914-62F5-4B7E-8D45-947C387D08F0}">
  <sheetPr>
    <tabColor rgb="FF70AD47"/>
  </sheetPr>
  <dimension ref="A1:N30"/>
  <sheetViews>
    <sheetView workbookViewId="0">
      <selection activeCell="I6" sqref="I6"/>
    </sheetView>
  </sheetViews>
  <sheetFormatPr defaultRowHeight="14.4" x14ac:dyDescent="0.3"/>
  <cols>
    <col min="1" max="1" width="10.5546875" customWidth="1"/>
    <col min="2" max="7" width="18" bestFit="1" customWidth="1"/>
    <col min="8" max="8" width="14.5546875" bestFit="1" customWidth="1"/>
    <col min="9" max="9" width="10.6640625" bestFit="1" customWidth="1"/>
    <col min="10" max="10" width="9.21875" bestFit="1" customWidth="1"/>
    <col min="11" max="11" width="10" bestFit="1" customWidth="1"/>
    <col min="12" max="12" width="14.88671875" bestFit="1" customWidth="1"/>
    <col min="13" max="13" width="10.44140625" bestFit="1" customWidth="1"/>
    <col min="14" max="14" width="9" bestFit="1" customWidth="1"/>
  </cols>
  <sheetData>
    <row r="1" spans="1:9" x14ac:dyDescent="0.3">
      <c r="A1" s="110"/>
      <c r="B1" s="110" t="s">
        <v>371</v>
      </c>
      <c r="C1" s="110" t="s">
        <v>517</v>
      </c>
      <c r="D1" s="110"/>
      <c r="E1" s="110"/>
      <c r="F1" s="110"/>
      <c r="G1" s="110"/>
      <c r="H1" s="110"/>
    </row>
    <row r="2" spans="1:9" x14ac:dyDescent="0.3">
      <c r="B2" t="s">
        <v>490</v>
      </c>
      <c r="D2" t="s">
        <v>379</v>
      </c>
      <c r="F2" t="s">
        <v>389</v>
      </c>
      <c r="H2" t="s">
        <v>515</v>
      </c>
      <c r="I2" t="s">
        <v>516</v>
      </c>
    </row>
    <row r="3" spans="1:9" x14ac:dyDescent="0.3">
      <c r="A3" s="99" t="s">
        <v>238</v>
      </c>
      <c r="B3" t="s">
        <v>240</v>
      </c>
      <c r="C3" t="s">
        <v>481</v>
      </c>
      <c r="D3" t="s">
        <v>240</v>
      </c>
      <c r="E3" t="s">
        <v>481</v>
      </c>
      <c r="F3" t="s">
        <v>240</v>
      </c>
      <c r="G3" t="s">
        <v>481</v>
      </c>
    </row>
    <row r="4" spans="1:9" x14ac:dyDescent="0.3">
      <c r="A4" t="s">
        <v>129</v>
      </c>
      <c r="B4" s="111"/>
      <c r="C4" s="111"/>
      <c r="D4" s="111">
        <v>66424</v>
      </c>
      <c r="E4" s="111">
        <v>15368.62</v>
      </c>
      <c r="F4" s="111"/>
      <c r="G4" s="111"/>
      <c r="H4" s="111">
        <v>66424</v>
      </c>
      <c r="I4" s="111">
        <v>15368.62</v>
      </c>
    </row>
    <row r="5" spans="1:9" x14ac:dyDescent="0.3">
      <c r="A5" t="s">
        <v>130</v>
      </c>
      <c r="B5" s="111">
        <v>71574</v>
      </c>
      <c r="C5" s="111">
        <v>10999.85</v>
      </c>
      <c r="D5" s="111">
        <v>73443.600000000006</v>
      </c>
      <c r="E5" s="111">
        <v>21019.15</v>
      </c>
      <c r="F5" s="111">
        <v>176502.7</v>
      </c>
      <c r="G5" s="111">
        <v>24985.769999999997</v>
      </c>
      <c r="H5" s="111">
        <v>321520.30000000005</v>
      </c>
      <c r="I5" s="111">
        <v>57004.77</v>
      </c>
    </row>
    <row r="6" spans="1:9" x14ac:dyDescent="0.3">
      <c r="A6" t="s">
        <v>132</v>
      </c>
      <c r="B6" s="111">
        <v>138995.29999999999</v>
      </c>
      <c r="C6" s="111">
        <v>21323.54</v>
      </c>
      <c r="D6" s="111">
        <v>150661.04999999999</v>
      </c>
      <c r="E6" s="111">
        <v>36059.81</v>
      </c>
      <c r="F6" s="111">
        <v>206980</v>
      </c>
      <c r="G6" s="111">
        <v>34168.81</v>
      </c>
      <c r="H6" s="111">
        <v>496636.35</v>
      </c>
      <c r="I6" s="111">
        <v>91552.16</v>
      </c>
    </row>
    <row r="7" spans="1:9" x14ac:dyDescent="0.3">
      <c r="A7" t="s">
        <v>590</v>
      </c>
      <c r="B7" s="111">
        <v>210569.3</v>
      </c>
      <c r="C7" s="111">
        <v>32323.39</v>
      </c>
      <c r="D7" s="111">
        <v>290528.65000000002</v>
      </c>
      <c r="E7" s="111">
        <v>72447.58</v>
      </c>
      <c r="F7" s="111">
        <v>383482.7</v>
      </c>
      <c r="G7" s="111">
        <v>59154.579999999994</v>
      </c>
      <c r="H7" s="111">
        <v>884580.65</v>
      </c>
      <c r="I7" s="111">
        <v>163925.54999999999</v>
      </c>
    </row>
    <row r="19" spans="1:14" x14ac:dyDescent="0.3">
      <c r="A19" s="7" t="s">
        <v>582</v>
      </c>
      <c r="B19" s="7" t="s">
        <v>588</v>
      </c>
      <c r="C19" s="7" t="s">
        <v>589</v>
      </c>
      <c r="D19" s="7" t="s">
        <v>160</v>
      </c>
      <c r="E19" s="7" t="s">
        <v>238</v>
      </c>
      <c r="F19" s="7" t="s">
        <v>371</v>
      </c>
      <c r="G19" s="7" t="s">
        <v>585</v>
      </c>
      <c r="H19" s="7" t="s">
        <v>376</v>
      </c>
      <c r="I19" s="7" t="s">
        <v>453</v>
      </c>
      <c r="J19" s="7" t="s">
        <v>586</v>
      </c>
      <c r="K19" s="7" t="s">
        <v>240</v>
      </c>
      <c r="L19" s="7" t="s">
        <v>377</v>
      </c>
      <c r="M19" s="7" t="s">
        <v>587</v>
      </c>
    </row>
    <row r="20" spans="1:14" x14ac:dyDescent="0.3">
      <c r="A20">
        <v>1001</v>
      </c>
      <c r="B20">
        <v>45658</v>
      </c>
      <c r="C20" t="s">
        <v>482</v>
      </c>
      <c r="D20" t="s">
        <v>483</v>
      </c>
      <c r="E20" t="s">
        <v>130</v>
      </c>
      <c r="F20" t="s">
        <v>379</v>
      </c>
      <c r="G20" t="s">
        <v>484</v>
      </c>
      <c r="H20" t="s">
        <v>115</v>
      </c>
      <c r="I20">
        <v>4</v>
      </c>
      <c r="J20">
        <v>20401</v>
      </c>
      <c r="K20">
        <v>73443.600000000006</v>
      </c>
      <c r="L20" t="s">
        <v>382</v>
      </c>
      <c r="M20">
        <v>10</v>
      </c>
      <c r="N20" t="s">
        <v>481</v>
      </c>
    </row>
    <row r="21" spans="1:14" x14ac:dyDescent="0.3">
      <c r="A21">
        <v>1002</v>
      </c>
      <c r="B21">
        <v>45658</v>
      </c>
      <c r="C21" t="s">
        <v>485</v>
      </c>
      <c r="D21" t="s">
        <v>163</v>
      </c>
      <c r="E21" t="s">
        <v>129</v>
      </c>
      <c r="F21" t="s">
        <v>379</v>
      </c>
      <c r="G21" t="s">
        <v>484</v>
      </c>
      <c r="H21" t="s">
        <v>486</v>
      </c>
      <c r="I21">
        <v>4</v>
      </c>
      <c r="J21">
        <v>17480</v>
      </c>
      <c r="K21">
        <v>66424</v>
      </c>
      <c r="L21" t="s">
        <v>396</v>
      </c>
      <c r="M21">
        <v>5</v>
      </c>
      <c r="N21">
        <v>21019.15</v>
      </c>
    </row>
    <row r="22" spans="1:14" x14ac:dyDescent="0.3">
      <c r="A22">
        <v>1003</v>
      </c>
      <c r="B22">
        <v>45658</v>
      </c>
      <c r="C22" t="s">
        <v>487</v>
      </c>
      <c r="D22" t="s">
        <v>483</v>
      </c>
      <c r="E22" t="s">
        <v>130</v>
      </c>
      <c r="F22" t="s">
        <v>389</v>
      </c>
      <c r="G22" t="s">
        <v>488</v>
      </c>
      <c r="H22" t="s">
        <v>114</v>
      </c>
      <c r="I22">
        <v>1</v>
      </c>
      <c r="J22">
        <v>20603</v>
      </c>
      <c r="K22">
        <v>18542.7</v>
      </c>
      <c r="L22" t="s">
        <v>401</v>
      </c>
      <c r="M22">
        <v>10</v>
      </c>
      <c r="N22">
        <v>15368.62</v>
      </c>
    </row>
    <row r="23" spans="1:14" x14ac:dyDescent="0.3">
      <c r="A23">
        <v>1004</v>
      </c>
      <c r="B23">
        <v>45659</v>
      </c>
      <c r="C23" t="s">
        <v>489</v>
      </c>
      <c r="D23" t="s">
        <v>483</v>
      </c>
      <c r="E23" t="s">
        <v>130</v>
      </c>
      <c r="F23" t="s">
        <v>490</v>
      </c>
      <c r="G23" t="s">
        <v>491</v>
      </c>
      <c r="H23" t="s">
        <v>114</v>
      </c>
      <c r="I23">
        <v>2</v>
      </c>
      <c r="J23">
        <v>35787</v>
      </c>
      <c r="K23">
        <v>71574</v>
      </c>
      <c r="L23" t="s">
        <v>401</v>
      </c>
      <c r="M23">
        <v>0</v>
      </c>
      <c r="N23">
        <v>3595.24</v>
      </c>
    </row>
    <row r="24" spans="1:14" x14ac:dyDescent="0.3">
      <c r="A24">
        <v>1005</v>
      </c>
      <c r="B24">
        <v>45659</v>
      </c>
      <c r="C24" t="s">
        <v>485</v>
      </c>
      <c r="D24" t="s">
        <v>166</v>
      </c>
      <c r="E24" t="s">
        <v>132</v>
      </c>
      <c r="F24" t="s">
        <v>389</v>
      </c>
      <c r="G24" t="s">
        <v>488</v>
      </c>
      <c r="H24" t="s">
        <v>112</v>
      </c>
      <c r="I24">
        <v>5</v>
      </c>
      <c r="J24">
        <v>41396</v>
      </c>
      <c r="K24">
        <v>206980</v>
      </c>
      <c r="L24" t="s">
        <v>396</v>
      </c>
      <c r="M24">
        <v>0</v>
      </c>
      <c r="N24">
        <v>10999.85</v>
      </c>
    </row>
    <row r="25" spans="1:14" x14ac:dyDescent="0.3">
      <c r="A25">
        <v>1006</v>
      </c>
      <c r="B25">
        <v>45660</v>
      </c>
      <c r="C25" t="s">
        <v>489</v>
      </c>
      <c r="D25" t="s">
        <v>483</v>
      </c>
      <c r="E25" t="s">
        <v>130</v>
      </c>
      <c r="F25" t="s">
        <v>389</v>
      </c>
      <c r="G25" t="s">
        <v>492</v>
      </c>
      <c r="H25" t="s">
        <v>486</v>
      </c>
      <c r="I25">
        <v>5</v>
      </c>
      <c r="J25">
        <v>31592</v>
      </c>
      <c r="K25">
        <v>157960</v>
      </c>
      <c r="L25" t="s">
        <v>401</v>
      </c>
      <c r="M25">
        <v>0</v>
      </c>
      <c r="N25">
        <v>34168.81</v>
      </c>
    </row>
    <row r="26" spans="1:14" x14ac:dyDescent="0.3">
      <c r="A26">
        <v>1007</v>
      </c>
      <c r="B26">
        <v>45660</v>
      </c>
      <c r="C26" t="s">
        <v>482</v>
      </c>
      <c r="D26" t="s">
        <v>179</v>
      </c>
      <c r="E26" t="s">
        <v>132</v>
      </c>
      <c r="F26" t="s">
        <v>379</v>
      </c>
      <c r="G26" t="s">
        <v>484</v>
      </c>
      <c r="H26" t="s">
        <v>114</v>
      </c>
      <c r="I26">
        <v>3</v>
      </c>
      <c r="J26">
        <v>37915</v>
      </c>
      <c r="K26">
        <v>113745</v>
      </c>
      <c r="L26" t="s">
        <v>396</v>
      </c>
      <c r="M26">
        <v>0</v>
      </c>
      <c r="N26">
        <v>21390.53</v>
      </c>
    </row>
    <row r="27" spans="1:14" x14ac:dyDescent="0.3">
      <c r="A27">
        <v>1008</v>
      </c>
      <c r="B27">
        <v>45661</v>
      </c>
      <c r="C27" t="s">
        <v>493</v>
      </c>
      <c r="D27" t="s">
        <v>166</v>
      </c>
      <c r="E27" t="s">
        <v>132</v>
      </c>
      <c r="F27" t="s">
        <v>379</v>
      </c>
      <c r="G27" t="s">
        <v>484</v>
      </c>
      <c r="H27" t="s">
        <v>114</v>
      </c>
      <c r="I27">
        <v>1</v>
      </c>
      <c r="J27">
        <v>38859</v>
      </c>
      <c r="K27">
        <v>36916.050000000003</v>
      </c>
      <c r="L27" t="s">
        <v>387</v>
      </c>
      <c r="M27">
        <v>5</v>
      </c>
      <c r="N27">
        <v>30022.959999999999</v>
      </c>
    </row>
    <row r="28" spans="1:14" x14ac:dyDescent="0.3">
      <c r="A28">
        <v>1009</v>
      </c>
      <c r="B28">
        <v>45661</v>
      </c>
      <c r="C28" t="s">
        <v>487</v>
      </c>
      <c r="D28" t="s">
        <v>166</v>
      </c>
      <c r="E28" t="s">
        <v>132</v>
      </c>
      <c r="F28" t="s">
        <v>490</v>
      </c>
      <c r="G28" t="s">
        <v>494</v>
      </c>
      <c r="H28" t="s">
        <v>115</v>
      </c>
      <c r="I28">
        <v>3</v>
      </c>
      <c r="J28">
        <v>26304</v>
      </c>
      <c r="K28">
        <v>71020.800000000003</v>
      </c>
      <c r="L28" t="s">
        <v>387</v>
      </c>
      <c r="M28">
        <v>10</v>
      </c>
      <c r="N28">
        <v>6036.85</v>
      </c>
    </row>
    <row r="29" spans="1:14" x14ac:dyDescent="0.3">
      <c r="A29">
        <v>1010</v>
      </c>
      <c r="B29">
        <v>45661</v>
      </c>
      <c r="C29" t="s">
        <v>485</v>
      </c>
      <c r="D29" t="s">
        <v>166</v>
      </c>
      <c r="E29" t="s">
        <v>132</v>
      </c>
      <c r="F29" t="s">
        <v>490</v>
      </c>
      <c r="G29" t="s">
        <v>495</v>
      </c>
      <c r="H29" t="s">
        <v>114</v>
      </c>
      <c r="I29">
        <v>5</v>
      </c>
      <c r="J29">
        <v>15994</v>
      </c>
      <c r="K29">
        <v>67974.5</v>
      </c>
      <c r="L29" t="s">
        <v>401</v>
      </c>
      <c r="M29">
        <v>15</v>
      </c>
      <c r="N29">
        <v>8473.11</v>
      </c>
    </row>
    <row r="30" spans="1:14" x14ac:dyDescent="0.3">
      <c r="N30">
        <v>12850.43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927D-64E3-4A3D-979D-E28A9378FBE3}">
  <sheetPr>
    <tabColor rgb="FFED7D31"/>
  </sheetPr>
  <dimension ref="A1:B11"/>
  <sheetViews>
    <sheetView workbookViewId="0">
      <selection activeCell="B10" sqref="B10"/>
    </sheetView>
  </sheetViews>
  <sheetFormatPr defaultRowHeight="14.4" x14ac:dyDescent="0.3"/>
  <cols>
    <col min="1" max="1" width="28.44140625" bestFit="1" customWidth="1"/>
    <col min="2" max="2" width="80.44140625" bestFit="1" customWidth="1"/>
  </cols>
  <sheetData>
    <row r="1" spans="1:2" x14ac:dyDescent="0.3">
      <c r="A1" s="113" t="s">
        <v>496</v>
      </c>
      <c r="B1" s="113" t="s">
        <v>497</v>
      </c>
    </row>
    <row r="2" spans="1:2" x14ac:dyDescent="0.3">
      <c r="A2" t="s">
        <v>498</v>
      </c>
      <c r="B2" s="131">
        <f>SUM('MIS REPORT(BAL. SHEET,PnL)'!K2:K11)</f>
        <v>884580.65000000014</v>
      </c>
    </row>
    <row r="3" spans="1:2" x14ac:dyDescent="0.3">
      <c r="A3" t="s">
        <v>499</v>
      </c>
      <c r="B3" s="131">
        <f>B2-B4</f>
        <v>720655.10000000009</v>
      </c>
    </row>
    <row r="4" spans="1:2" x14ac:dyDescent="0.3">
      <c r="A4" t="s">
        <v>500</v>
      </c>
      <c r="B4" s="131">
        <f>SUM('MIS REPORT(BAL. SHEET,PnL)'!N2:N11)</f>
        <v>163925.54999999999</v>
      </c>
    </row>
    <row r="5" spans="1:2" x14ac:dyDescent="0.3">
      <c r="A5" t="s">
        <v>591</v>
      </c>
      <c r="B5" s="131">
        <v>0</v>
      </c>
    </row>
    <row r="6" spans="1:2" x14ac:dyDescent="0.3">
      <c r="A6" t="s">
        <v>592</v>
      </c>
      <c r="B6" s="131">
        <f>B4-B5</f>
        <v>163925.54999999999</v>
      </c>
    </row>
    <row r="7" spans="1:2" x14ac:dyDescent="0.3">
      <c r="B7" s="132"/>
    </row>
    <row r="8" spans="1:2" x14ac:dyDescent="0.3">
      <c r="A8" s="114" t="s">
        <v>501</v>
      </c>
      <c r="B8" s="114" t="s">
        <v>502</v>
      </c>
    </row>
    <row r="9" spans="1:2" x14ac:dyDescent="0.3">
      <c r="A9" t="s">
        <v>503</v>
      </c>
      <c r="B9" s="112">
        <f>IF(B2=0,0,B4/B2)</f>
        <v>0.18531441988924352</v>
      </c>
    </row>
    <row r="10" spans="1:2" x14ac:dyDescent="0.3">
      <c r="A10" t="s">
        <v>504</v>
      </c>
      <c r="B10" s="112">
        <f>IF(B2=0,0,B6/B2)</f>
        <v>0.18531441988924352</v>
      </c>
    </row>
    <row r="11" spans="1:2" x14ac:dyDescent="0.3">
      <c r="A11" t="s">
        <v>505</v>
      </c>
      <c r="B11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C4E0-82F6-4A28-9AA9-B3A05BD1FDCC}">
  <sheetPr>
    <tabColor rgb="FFA5A5A5"/>
  </sheetPr>
  <dimension ref="A1:B14"/>
  <sheetViews>
    <sheetView workbookViewId="0">
      <selection activeCell="B14" sqref="B14"/>
    </sheetView>
  </sheetViews>
  <sheetFormatPr defaultRowHeight="14.4" x14ac:dyDescent="0.3"/>
  <cols>
    <col min="1" max="1" width="36" bestFit="1" customWidth="1"/>
    <col min="2" max="2" width="11.6640625" bestFit="1" customWidth="1"/>
  </cols>
  <sheetData>
    <row r="1" spans="1:2" x14ac:dyDescent="0.3">
      <c r="A1" s="134" t="s">
        <v>558</v>
      </c>
      <c r="B1" s="134" t="s">
        <v>497</v>
      </c>
    </row>
    <row r="2" spans="1:2" x14ac:dyDescent="0.3">
      <c r="A2" s="136" t="s">
        <v>506</v>
      </c>
      <c r="B2" s="11"/>
    </row>
    <row r="3" spans="1:2" x14ac:dyDescent="0.3">
      <c r="A3" t="s">
        <v>507</v>
      </c>
      <c r="B3" s="133">
        <f>'P&amp;L Statement'!B2</f>
        <v>884580.65000000014</v>
      </c>
    </row>
    <row r="4" spans="1:2" x14ac:dyDescent="0.3">
      <c r="A4" t="s">
        <v>508</v>
      </c>
      <c r="B4" s="133">
        <f>B3</f>
        <v>884580.65000000014</v>
      </c>
    </row>
    <row r="5" spans="1:2" x14ac:dyDescent="0.3">
      <c r="B5" s="133"/>
    </row>
    <row r="6" spans="1:2" x14ac:dyDescent="0.3">
      <c r="A6" s="135" t="s">
        <v>509</v>
      </c>
      <c r="B6" s="133"/>
    </row>
    <row r="7" spans="1:2" x14ac:dyDescent="0.3">
      <c r="A7" t="s">
        <v>593</v>
      </c>
      <c r="B7" s="133">
        <v>0</v>
      </c>
    </row>
    <row r="8" spans="1:2" x14ac:dyDescent="0.3">
      <c r="A8" t="s">
        <v>510</v>
      </c>
      <c r="B8" s="133">
        <f>B7</f>
        <v>0</v>
      </c>
    </row>
    <row r="9" spans="1:2" x14ac:dyDescent="0.3">
      <c r="B9" s="133"/>
    </row>
    <row r="10" spans="1:2" x14ac:dyDescent="0.3">
      <c r="A10" s="26" t="s">
        <v>511</v>
      </c>
      <c r="B10" s="133"/>
    </row>
    <row r="11" spans="1:2" x14ac:dyDescent="0.3">
      <c r="A11" t="s">
        <v>594</v>
      </c>
      <c r="B11" s="133">
        <f>B3-B12</f>
        <v>720655.10000000009</v>
      </c>
    </row>
    <row r="12" spans="1:2" x14ac:dyDescent="0.3">
      <c r="A12" t="s">
        <v>512</v>
      </c>
      <c r="B12" s="133">
        <f>'P&amp;L Statement'!B6</f>
        <v>163925.54999999999</v>
      </c>
    </row>
    <row r="13" spans="1:2" x14ac:dyDescent="0.3">
      <c r="A13" t="s">
        <v>513</v>
      </c>
      <c r="B13" s="133">
        <f>B11+B12</f>
        <v>884580.65000000014</v>
      </c>
    </row>
    <row r="14" spans="1:2" x14ac:dyDescent="0.3">
      <c r="A14" t="s">
        <v>514</v>
      </c>
      <c r="B14" s="133">
        <f>B4-B8-B13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Conditional Formatting</vt:lpstr>
      <vt:lpstr>Student Scores</vt:lpstr>
      <vt:lpstr>Speedometer</vt:lpstr>
      <vt:lpstr>Data Validation</vt:lpstr>
      <vt:lpstr>Sales Report</vt:lpstr>
      <vt:lpstr>Dfunctions</vt:lpstr>
      <vt:lpstr>Consolidate</vt:lpstr>
      <vt:lpstr>Employee Lookup</vt:lpstr>
      <vt:lpstr>Employee HLOOKUP</vt:lpstr>
      <vt:lpstr>Sales Efficiency</vt:lpstr>
      <vt:lpstr>pivot</vt:lpstr>
      <vt:lpstr>PAYROLL</vt:lpstr>
      <vt:lpstr>WHT IF ANALYSIS</vt:lpstr>
      <vt:lpstr>MIS REPORT(CASH FLOW,STOCK ST)</vt:lpstr>
      <vt:lpstr>MIS REPORT(BAL. SHEET,PnL)</vt:lpstr>
      <vt:lpstr>DASHBOARDS</vt:lpstr>
      <vt:lpstr>SUMIFS ASSIGNMENT</vt:lpstr>
      <vt:lpstr>filter table</vt:lpstr>
      <vt:lpstr> pivot2</vt:lpstr>
      <vt:lpstr>P&amp;L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sharma</dc:creator>
  <cp:lastModifiedBy>Anshika sharma</cp:lastModifiedBy>
  <dcterms:created xsi:type="dcterms:W3CDTF">2026-04-10T10:12:33Z</dcterms:created>
  <dcterms:modified xsi:type="dcterms:W3CDTF">2026-10-23T05:46:22Z</dcterms:modified>
</cp:coreProperties>
</file>